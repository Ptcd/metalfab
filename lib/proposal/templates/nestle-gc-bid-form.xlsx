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ehcsr0G4eIUB9KoWdPEwacgMj1yZ0myYCtoRzRb30s="/>
    </ext>
  </extLst>
</workbook>
</file>

<file path=xl/sharedStrings.xml><?xml version="1.0" encoding="utf-8"?>
<sst xmlns="http://schemas.openxmlformats.org/spreadsheetml/2006/main" count="162" uniqueCount="157">
  <si>
    <t>Schaumburg, IL Factory - Entry/Security, HR Office, &amp; Support Areas Renovation</t>
  </si>
  <si>
    <t>CONSTRUCTION BID FORM</t>
  </si>
  <si>
    <t>PROJECT ADDRESS:</t>
  </si>
  <si>
    <t>Nestlé USA
Schaumburg, IL Factory
601 E. Algonquin Road                                                                                                                          Schaumburg, IL 60173</t>
  </si>
  <si>
    <t>[ENTER GENERAL CONTRACTOR NAME]</t>
  </si>
  <si>
    <t>Item Description</t>
  </si>
  <si>
    <t>Qty.</t>
  </si>
  <si>
    <t>Unit</t>
  </si>
  <si>
    <t>Unit Cost</t>
  </si>
  <si>
    <t>Extension</t>
  </si>
  <si>
    <t>No.:</t>
  </si>
  <si>
    <t>Div.:</t>
  </si>
  <si>
    <t>Disciplines</t>
  </si>
  <si>
    <t>02 00 00</t>
  </si>
  <si>
    <t xml:space="preserve"> Demolition</t>
  </si>
  <si>
    <t>01 10 00</t>
  </si>
  <si>
    <t xml:space="preserve"> Final Clean</t>
  </si>
  <si>
    <t>02 01 00</t>
  </si>
  <si>
    <t>Maintenance of Existing Conditions</t>
  </si>
  <si>
    <t>02 20 00</t>
  </si>
  <si>
    <t>Assessment of Existing Conditions</t>
  </si>
  <si>
    <t>03 00 00</t>
  </si>
  <si>
    <t>Concrete</t>
  </si>
  <si>
    <t>04 00 00</t>
  </si>
  <si>
    <t>Masonry</t>
  </si>
  <si>
    <t>05 10 00</t>
  </si>
  <si>
    <t>Structural Steel / Metal Framing</t>
  </si>
  <si>
    <t>05 40 00</t>
  </si>
  <si>
    <t>Cold-Formed Metal Framing</t>
  </si>
  <si>
    <t>05 51 00</t>
  </si>
  <si>
    <t>Metal Stairs</t>
  </si>
  <si>
    <t>06 00 00</t>
  </si>
  <si>
    <t>Wood, Plastics &amp; Composites</t>
  </si>
  <si>
    <t>06 10 00</t>
  </si>
  <si>
    <t xml:space="preserve"> Carpentry</t>
  </si>
  <si>
    <t>06 20 00</t>
  </si>
  <si>
    <t>Finish Carpentry / Millwork</t>
  </si>
  <si>
    <t>06 60 00</t>
  </si>
  <si>
    <t>Plastic Fabrications - Solid Surfaces</t>
  </si>
  <si>
    <t>06 80 00</t>
  </si>
  <si>
    <t>Composite Fabrications</t>
  </si>
  <si>
    <t>07 00 00</t>
  </si>
  <si>
    <t>Thermal and Moisture Protection</t>
  </si>
  <si>
    <t>07 40 00</t>
  </si>
  <si>
    <t>Roofing and Siding Panels - Specialties &amp; Accessories</t>
  </si>
  <si>
    <t>08 00 00</t>
  </si>
  <si>
    <t xml:space="preserve"> Doors, Frames &amp; Hardware</t>
  </si>
  <si>
    <t>08 43 00</t>
  </si>
  <si>
    <t xml:space="preserve"> Storefronts - Glass Partitions / Demountable Walls</t>
  </si>
  <si>
    <t>08 50 00</t>
  </si>
  <si>
    <t xml:space="preserve"> Aluminum Windows - Glass &amp; Glazing</t>
  </si>
  <si>
    <t>08 56 59</t>
  </si>
  <si>
    <t>Specialty Windows &amp; Equipment - Transactions / Teller</t>
  </si>
  <si>
    <t>09 00 00</t>
  </si>
  <si>
    <t>Finishes</t>
  </si>
  <si>
    <t>09 20 00</t>
  </si>
  <si>
    <t>Gypsum Board Assemblies</t>
  </si>
  <si>
    <t>09 30 00</t>
  </si>
  <si>
    <t>Tiling - Floor</t>
  </si>
  <si>
    <t>Tiling - Wall</t>
  </si>
  <si>
    <t>09 51 00</t>
  </si>
  <si>
    <t>Acoustucal Ceilings</t>
  </si>
  <si>
    <t>09 60 00</t>
  </si>
  <si>
    <t>Flooring</t>
  </si>
  <si>
    <t>09 70 00</t>
  </si>
  <si>
    <t>Wall Finishes</t>
  </si>
  <si>
    <t>10 00 00</t>
  </si>
  <si>
    <t>Specialties</t>
  </si>
  <si>
    <t>10 28 00</t>
  </si>
  <si>
    <t>Toilet Accessories</t>
  </si>
  <si>
    <t>10 51 00</t>
  </si>
  <si>
    <t>Lockers</t>
  </si>
  <si>
    <t>11 14 00</t>
  </si>
  <si>
    <t xml:space="preserve"> Security System - Turnstiles</t>
  </si>
  <si>
    <t>11 31 00</t>
  </si>
  <si>
    <t xml:space="preserve"> Appliances</t>
  </si>
  <si>
    <t>12 20000</t>
  </si>
  <si>
    <t xml:space="preserve"> Window Treatments</t>
  </si>
  <si>
    <t>14 00 00</t>
  </si>
  <si>
    <t xml:space="preserve"> Elevators</t>
  </si>
  <si>
    <t>22 00 00</t>
  </si>
  <si>
    <t xml:space="preserve"> Plumbing</t>
  </si>
  <si>
    <t>23 00 00</t>
  </si>
  <si>
    <t>HVAC</t>
  </si>
  <si>
    <t>15 00 00</t>
  </si>
  <si>
    <t xml:space="preserve"> Fire Protection</t>
  </si>
  <si>
    <t>26 00 00</t>
  </si>
  <si>
    <t xml:space="preserve"> Electrical</t>
  </si>
  <si>
    <t>27 00 00</t>
  </si>
  <si>
    <t>Low-Voltage / Tel-Data</t>
  </si>
  <si>
    <t>31 00 00</t>
  </si>
  <si>
    <t>Earthwork</t>
  </si>
  <si>
    <t>31 10 00</t>
  </si>
  <si>
    <t>Site Clearing</t>
  </si>
  <si>
    <t>32 00 00</t>
  </si>
  <si>
    <t>Site Improvements - Concrete Paving, Bollards, Security Gates</t>
  </si>
  <si>
    <t xml:space="preserve"> Allowance #1 (ex Permit)</t>
  </si>
  <si>
    <t xml:space="preserve"> Allowance #2</t>
  </si>
  <si>
    <t xml:space="preserve"> Allowance #3</t>
  </si>
  <si>
    <t>Sub-Total Construction Costs</t>
  </si>
  <si>
    <t xml:space="preserve"> General Conditions</t>
  </si>
  <si>
    <t xml:space="preserve"> Estimating/Pre Construction</t>
  </si>
  <si>
    <t xml:space="preserve"> Builders Risk Insurance</t>
  </si>
  <si>
    <t xml:space="preserve"> Gross Tax Receipts</t>
  </si>
  <si>
    <t xml:space="preserve"> Subguard SDI Bond</t>
  </si>
  <si>
    <t xml:space="preserve"> General Commerical Insurance</t>
  </si>
  <si>
    <t xml:space="preserve"> Overhead, Profit &amp; Fees</t>
  </si>
  <si>
    <t xml:space="preserve"> Other TBD</t>
  </si>
  <si>
    <t>Sub-Total Other Costs</t>
  </si>
  <si>
    <t>Special Breakout - TDB #1</t>
  </si>
  <si>
    <t>Special Breakout - TDB #2</t>
  </si>
  <si>
    <t>Special Breakout - TDB #3</t>
  </si>
  <si>
    <t>Sub-Total Special Breakouts</t>
  </si>
  <si>
    <t>TOTAL CONSTRUCTION BID</t>
  </si>
  <si>
    <t>Overhead &amp; Profit Mark-Up</t>
  </si>
  <si>
    <t>Work Performed By Contractors Own Forces (as %)</t>
  </si>
  <si>
    <t>Work Performed By Sub-Contractors (as %)</t>
  </si>
  <si>
    <t>Change Order Mark-Up (%) General Contractor (OH &amp; P)</t>
  </si>
  <si>
    <t>Change Order Mark-Up (%) Sub-Contractors and Suppliers (OH&amp;P)</t>
  </si>
  <si>
    <t>Contract Time &amp; Logistics</t>
  </si>
  <si>
    <t>Date Of Commencement</t>
  </si>
  <si>
    <t>Substantial Completion Date</t>
  </si>
  <si>
    <t>days</t>
  </si>
  <si>
    <t>Number of Crews / employees per crew</t>
  </si>
  <si>
    <t>Square Feet</t>
  </si>
  <si>
    <t>Labor Rates By Position</t>
  </si>
  <si>
    <t>$/HR</t>
  </si>
  <si>
    <t>$/HR OT</t>
  </si>
  <si>
    <t>Foreman</t>
  </si>
  <si>
    <t>Journeyman</t>
  </si>
  <si>
    <t>Laborer</t>
  </si>
  <si>
    <t>TOTAL BASE CONTRACT VALUE BEFORE CHANGES</t>
  </si>
  <si>
    <t>CHANGE ORDERS</t>
  </si>
  <si>
    <t>SUB-CONTRACTOR MARK-UP</t>
  </si>
  <si>
    <t>GENERAL CONTRACTOR MARK-UP</t>
  </si>
  <si>
    <t>TOTAL VALUE OF CHANGE ORDERS WITH MARK-UPS</t>
  </si>
  <si>
    <t>TOTAL POTENTIAL COST OF CONSTRUCTION, GENERAL CONDITIONS AND MARK-UP'S (BASED ON ASSUMED BID VALUE AND CHANGE ORDERS)</t>
  </si>
  <si>
    <t>VARIANCE BETWEEN CONTRACTORS BEFORE INSURANCE AND BONDS</t>
  </si>
  <si>
    <t>LIABILITY INSURANCE</t>
  </si>
  <si>
    <t>PAYMENT AND PERFORMANCE BOND</t>
  </si>
  <si>
    <t>BUILDER'S RISK INSURANCE</t>
  </si>
  <si>
    <t>SUB-TOTAL ADDITIONAL FEES AND EXPENSES</t>
  </si>
  <si>
    <t>TOTAL POTENTIAL COST OF CONSTRUCTION, GENERAL CONDITIONS AND MARK-UPS (BASED ON ASSUMMED BID VALUE AND CHANGE ORDERS)</t>
  </si>
  <si>
    <t>VARIANCE BETWEEN CONTRACTORS AFTER INSURANCE AND BONDS/PRE-CONSTRUCTION SERVICES</t>
  </si>
  <si>
    <t>Addenda</t>
  </si>
  <si>
    <t>Initials</t>
  </si>
  <si>
    <t>Date</t>
  </si>
  <si>
    <t>Addenda #</t>
  </si>
  <si>
    <t>Personnel</t>
  </si>
  <si>
    <t>Name</t>
  </si>
  <si>
    <t>Project Manager</t>
  </si>
  <si>
    <t>Project Superintendent</t>
  </si>
  <si>
    <t>Safety Risk Management Report</t>
  </si>
  <si>
    <t>EMR</t>
  </si>
  <si>
    <t>OSHA Recordable Incident Rate</t>
  </si>
  <si>
    <t>ISN Certification with Nestle</t>
  </si>
  <si>
    <t>See Exhibit A - For Bid Signature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</si>
</sst>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&quot;.&quot;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14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/>
    <font>
      <sz val="11.0"/>
      <color rgb="FF0070C0"/>
      <name val="Calibri"/>
    </font>
    <font>
      <sz val="12.0"/>
      <color theme="1"/>
      <name val="Calibri"/>
    </font>
    <font>
      <b/>
      <u/>
      <sz val="11.0"/>
      <color theme="1"/>
      <name val="Calibri"/>
    </font>
    <font>
      <sz val="10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B2B2B2"/>
        <bgColor rgb="FFB2B2B2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6DDE8"/>
        <bgColor rgb="FFB6DDE8"/>
      </patternFill>
    </fill>
  </fills>
  <borders count="45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horizontal="right" vertical="top"/>
    </xf>
    <xf borderId="0" fillId="0" fontId="2" numFmtId="0" xfId="0" applyFont="1"/>
    <xf borderId="0" fillId="0" fontId="4" numFmtId="0" xfId="0" applyAlignment="1" applyFont="1">
      <alignment horizontal="right" vertical="top"/>
    </xf>
    <xf borderId="0" fillId="0" fontId="5" numFmtId="0" xfId="0" applyAlignment="1" applyFont="1">
      <alignment vertical="top"/>
    </xf>
    <xf borderId="1" fillId="2" fontId="5" numFmtId="0" xfId="0" applyAlignment="1" applyBorder="1" applyFill="1" applyFont="1">
      <alignment shrinkToFit="0" vertical="top" wrapText="1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0" fillId="0" fontId="2" numFmtId="0" xfId="0" applyAlignment="1" applyFont="1">
      <alignment horizontal="center" shrinkToFit="0" vertical="top" wrapText="1"/>
    </xf>
    <xf borderId="0" fillId="0" fontId="2" numFmtId="14" xfId="0" applyAlignment="1" applyFont="1" applyNumberFormat="1">
      <alignment horizontal="center" shrinkToFit="0" vertical="top" wrapText="1"/>
    </xf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0" fillId="0" fontId="2" numFmtId="14" xfId="0" applyAlignment="1" applyFont="1" applyNumberFormat="1">
      <alignment horizontal="right" vertical="top"/>
    </xf>
    <xf borderId="9" fillId="3" fontId="5" numFmtId="0" xfId="0" applyAlignment="1" applyBorder="1" applyFill="1" applyFont="1">
      <alignment horizontal="center" vertical="top"/>
    </xf>
    <xf borderId="10" fillId="0" fontId="6" numFmtId="0" xfId="0" applyBorder="1" applyFont="1"/>
    <xf borderId="11" fillId="0" fontId="6" numFmtId="0" xfId="0" applyBorder="1" applyFont="1"/>
    <xf borderId="12" fillId="0" fontId="2" numFmtId="0" xfId="0" applyAlignment="1" applyBorder="1" applyFont="1">
      <alignment horizontal="center" vertical="top"/>
    </xf>
    <xf borderId="13" fillId="0" fontId="6" numFmtId="0" xfId="0" applyBorder="1" applyFont="1"/>
    <xf borderId="14" fillId="0" fontId="6" numFmtId="0" xfId="0" applyBorder="1" applyFont="1"/>
    <xf borderId="15" fillId="0" fontId="2" numFmtId="0" xfId="0" applyAlignment="1" applyBorder="1" applyFont="1">
      <alignment horizontal="center" vertical="top"/>
    </xf>
    <xf borderId="16" fillId="0" fontId="2" numFmtId="0" xfId="0" applyAlignment="1" applyBorder="1" applyFont="1">
      <alignment horizontal="center" vertical="top"/>
    </xf>
    <xf quotePrefix="1" borderId="17" fillId="4" fontId="2" numFmtId="0" xfId="0" applyAlignment="1" applyBorder="1" applyFill="1" applyFont="1">
      <alignment horizontal="center" vertical="top"/>
    </xf>
    <xf quotePrefix="1" borderId="18" fillId="4" fontId="2" numFmtId="0" xfId="0" applyAlignment="1" applyBorder="1" applyFont="1">
      <alignment horizontal="center" vertical="top"/>
    </xf>
    <xf borderId="15" fillId="0" fontId="5" numFmtId="0" xfId="0" applyAlignment="1" applyBorder="1" applyFont="1">
      <alignment vertical="top"/>
    </xf>
    <xf borderId="15" fillId="5" fontId="2" numFmtId="0" xfId="0" applyAlignment="1" applyBorder="1" applyFill="1" applyFont="1">
      <alignment vertical="top"/>
    </xf>
    <xf borderId="15" fillId="5" fontId="2" numFmtId="0" xfId="0" applyAlignment="1" applyBorder="1" applyFont="1">
      <alignment horizontal="center" vertical="top"/>
    </xf>
    <xf borderId="16" fillId="5" fontId="2" numFmtId="0" xfId="0" applyAlignment="1" applyBorder="1" applyFont="1">
      <alignment vertical="top"/>
    </xf>
    <xf borderId="17" fillId="0" fontId="2" numFmtId="164" xfId="0" applyAlignment="1" applyBorder="1" applyFont="1" applyNumberFormat="1">
      <alignment horizontal="center" vertical="top"/>
    </xf>
    <xf borderId="14" fillId="0" fontId="2" numFmtId="1" xfId="0" applyAlignment="1" applyBorder="1" applyFont="1" applyNumberFormat="1">
      <alignment horizontal="center" vertical="top"/>
    </xf>
    <xf borderId="15" fillId="0" fontId="2" numFmtId="0" xfId="0" applyAlignment="1" applyBorder="1" applyFont="1">
      <alignment vertical="top"/>
    </xf>
    <xf borderId="15" fillId="2" fontId="7" numFmtId="0" xfId="0" applyAlignment="1" applyBorder="1" applyFont="1">
      <alignment horizontal="center" vertical="top"/>
    </xf>
    <xf borderId="15" fillId="2" fontId="2" numFmtId="165" xfId="0" applyAlignment="1" applyBorder="1" applyFont="1" applyNumberFormat="1">
      <alignment horizontal="center" vertical="top"/>
    </xf>
    <xf borderId="15" fillId="0" fontId="2" numFmtId="165" xfId="0" applyAlignment="1" applyBorder="1" applyFont="1" applyNumberFormat="1">
      <alignment vertical="top"/>
    </xf>
    <xf borderId="16" fillId="0" fontId="2" numFmtId="0" xfId="0" applyAlignment="1" applyBorder="1" applyFont="1">
      <alignment vertical="top"/>
    </xf>
    <xf borderId="15" fillId="2" fontId="2" numFmtId="0" xfId="0" applyAlignment="1" applyBorder="1" applyFont="1">
      <alignment horizontal="center" vertical="top"/>
    </xf>
    <xf borderId="17" fillId="3" fontId="2" numFmtId="164" xfId="0" applyAlignment="1" applyBorder="1" applyFont="1" applyNumberFormat="1">
      <alignment horizontal="center" vertical="top"/>
    </xf>
    <xf borderId="18" fillId="3" fontId="2" numFmtId="164" xfId="0" applyAlignment="1" applyBorder="1" applyFont="1" applyNumberFormat="1">
      <alignment horizontal="center" vertical="top"/>
    </xf>
    <xf borderId="15" fillId="3" fontId="5" numFmtId="0" xfId="0" applyAlignment="1" applyBorder="1" applyFont="1">
      <alignment vertical="top"/>
    </xf>
    <xf borderId="15" fillId="3" fontId="5" numFmtId="0" xfId="0" applyAlignment="1" applyBorder="1" applyFont="1">
      <alignment horizontal="center" vertical="top"/>
    </xf>
    <xf borderId="15" fillId="3" fontId="5" numFmtId="165" xfId="0" applyAlignment="1" applyBorder="1" applyFont="1" applyNumberFormat="1">
      <alignment horizontal="center" vertical="top"/>
    </xf>
    <xf borderId="16" fillId="3" fontId="5" numFmtId="0" xfId="0" applyAlignment="1" applyBorder="1" applyFont="1">
      <alignment vertical="top"/>
    </xf>
    <xf borderId="14" fillId="0" fontId="2" numFmtId="164" xfId="0" applyAlignment="1" applyBorder="1" applyFont="1" applyNumberFormat="1">
      <alignment horizontal="center" vertical="top"/>
    </xf>
    <xf borderId="16" fillId="0" fontId="2" numFmtId="166" xfId="0" applyAlignment="1" applyBorder="1" applyFont="1" applyNumberFormat="1">
      <alignment vertical="top"/>
    </xf>
    <xf borderId="16" fillId="0" fontId="2" numFmtId="166" xfId="0" applyAlignment="1" applyBorder="1" applyFont="1" applyNumberFormat="1">
      <alignment shrinkToFit="0" vertical="top" wrapText="1"/>
    </xf>
    <xf borderId="15" fillId="3" fontId="5" numFmtId="166" xfId="0" applyAlignment="1" applyBorder="1" applyFont="1" applyNumberFormat="1">
      <alignment horizontal="center" vertical="top"/>
    </xf>
    <xf borderId="15" fillId="3" fontId="5" numFmtId="165" xfId="0" applyAlignment="1" applyBorder="1" applyFont="1" applyNumberFormat="1">
      <alignment vertical="top"/>
    </xf>
    <xf borderId="16" fillId="3" fontId="5" numFmtId="166" xfId="0" applyAlignment="1" applyBorder="1" applyFont="1" applyNumberFormat="1">
      <alignment vertical="top"/>
    </xf>
    <xf borderId="16" fillId="0" fontId="2" numFmtId="10" xfId="0" applyAlignment="1" applyBorder="1" applyFont="1" applyNumberFormat="1">
      <alignment vertical="top"/>
    </xf>
    <xf borderId="19" fillId="3" fontId="2" numFmtId="164" xfId="0" applyAlignment="1" applyBorder="1" applyFont="1" applyNumberFormat="1">
      <alignment horizontal="center" vertical="top"/>
    </xf>
    <xf borderId="20" fillId="3" fontId="2" numFmtId="164" xfId="0" applyAlignment="1" applyBorder="1" applyFont="1" applyNumberFormat="1">
      <alignment horizontal="center" vertical="top"/>
    </xf>
    <xf borderId="21" fillId="3" fontId="5" numFmtId="0" xfId="0" applyAlignment="1" applyBorder="1" applyFont="1">
      <alignment vertical="top"/>
    </xf>
    <xf borderId="21" fillId="3" fontId="5" numFmtId="0" xfId="0" applyAlignment="1" applyBorder="1" applyFont="1">
      <alignment horizontal="center" vertical="top"/>
    </xf>
    <xf borderId="21" fillId="3" fontId="5" numFmtId="166" xfId="0" applyAlignment="1" applyBorder="1" applyFont="1" applyNumberFormat="1">
      <alignment horizontal="center" vertical="top"/>
    </xf>
    <xf borderId="21" fillId="3" fontId="5" numFmtId="165" xfId="0" applyAlignment="1" applyBorder="1" applyFont="1" applyNumberFormat="1">
      <alignment horizontal="center" vertical="top"/>
    </xf>
    <xf borderId="21" fillId="3" fontId="5" numFmtId="165" xfId="0" applyAlignment="1" applyBorder="1" applyFont="1" applyNumberFormat="1">
      <alignment vertical="top"/>
    </xf>
    <xf borderId="22" fillId="3" fontId="5" numFmtId="166" xfId="0" applyAlignment="1" applyBorder="1" applyFont="1" applyNumberFormat="1">
      <alignment vertical="top"/>
    </xf>
    <xf borderId="0" fillId="0" fontId="5" numFmtId="0" xfId="0" applyFont="1"/>
    <xf borderId="23" fillId="3" fontId="8" numFmtId="164" xfId="0" applyAlignment="1" applyBorder="1" applyFont="1" applyNumberFormat="1">
      <alignment horizontal="center" vertical="top"/>
    </xf>
    <xf borderId="24" fillId="3" fontId="8" numFmtId="164" xfId="0" applyAlignment="1" applyBorder="1" applyFont="1" applyNumberFormat="1">
      <alignment horizontal="center" vertical="top"/>
    </xf>
    <xf borderId="25" fillId="3" fontId="4" numFmtId="0" xfId="0" applyAlignment="1" applyBorder="1" applyFont="1">
      <alignment horizontal="left" vertical="top"/>
    </xf>
    <xf borderId="26" fillId="3" fontId="4" numFmtId="0" xfId="0" applyAlignment="1" applyBorder="1" applyFont="1">
      <alignment horizontal="center" vertical="top"/>
    </xf>
    <xf borderId="24" fillId="3" fontId="4" numFmtId="166" xfId="0" applyAlignment="1" applyBorder="1" applyFont="1" applyNumberFormat="1">
      <alignment horizontal="center" vertical="top"/>
    </xf>
    <xf borderId="24" fillId="3" fontId="4" numFmtId="165" xfId="0" applyAlignment="1" applyBorder="1" applyFont="1" applyNumberFormat="1">
      <alignment horizontal="center" vertical="top"/>
    </xf>
    <xf borderId="25" fillId="3" fontId="4" numFmtId="165" xfId="0" applyAlignment="1" applyBorder="1" applyFont="1" applyNumberFormat="1">
      <alignment vertical="top"/>
    </xf>
    <xf borderId="27" fillId="3" fontId="4" numFmtId="166" xfId="0" applyAlignment="1" applyBorder="1" applyFont="1" applyNumberFormat="1">
      <alignment vertical="top"/>
    </xf>
    <xf borderId="0" fillId="0" fontId="4" numFmtId="0" xfId="0" applyFont="1"/>
    <xf borderId="28" fillId="0" fontId="5" numFmtId="0" xfId="0" applyAlignment="1" applyBorder="1" applyFont="1">
      <alignment vertical="top"/>
    </xf>
    <xf borderId="29" fillId="0" fontId="5" numFmtId="0" xfId="0" applyAlignment="1" applyBorder="1" applyFont="1">
      <alignment vertical="top"/>
    </xf>
    <xf borderId="29" fillId="0" fontId="2" numFmtId="0" xfId="0" applyAlignment="1" applyBorder="1" applyFont="1">
      <alignment vertical="top"/>
    </xf>
    <xf borderId="30" fillId="5" fontId="2" numFmtId="0" xfId="0" applyAlignment="1" applyBorder="1" applyFont="1">
      <alignment vertical="top"/>
    </xf>
    <xf borderId="31" fillId="5" fontId="2" numFmtId="0" xfId="0" applyAlignment="1" applyBorder="1" applyFont="1">
      <alignment horizontal="center" vertical="top"/>
    </xf>
    <xf borderId="31" fillId="5" fontId="2" numFmtId="0" xfId="0" applyAlignment="1" applyBorder="1" applyFont="1">
      <alignment vertical="top"/>
    </xf>
    <xf borderId="32" fillId="5" fontId="2" numFmtId="0" xfId="0" applyAlignment="1" applyBorder="1" applyFont="1">
      <alignment vertical="top"/>
    </xf>
    <xf borderId="15" fillId="0" fontId="2" numFmtId="0" xfId="0" applyAlignment="1" applyBorder="1" applyFont="1">
      <alignment shrinkToFit="0" vertical="top" wrapText="1"/>
    </xf>
    <xf borderId="15" fillId="2" fontId="2" numFmtId="9" xfId="0" applyAlignment="1" applyBorder="1" applyFont="1" applyNumberFormat="1">
      <alignment vertical="top"/>
    </xf>
    <xf borderId="15" fillId="0" fontId="2" numFmtId="9" xfId="0" applyAlignment="1" applyBorder="1" applyFont="1" applyNumberFormat="1">
      <alignment horizontal="center" vertical="top"/>
    </xf>
    <xf borderId="15" fillId="0" fontId="2" numFmtId="10" xfId="0" applyAlignment="1" applyBorder="1" applyFont="1" applyNumberFormat="1">
      <alignment vertical="top"/>
    </xf>
    <xf borderId="15" fillId="2" fontId="2" numFmtId="0" xfId="0" applyAlignment="1" applyBorder="1" applyFont="1">
      <alignment vertical="top"/>
    </xf>
    <xf borderId="33" fillId="0" fontId="2" numFmtId="164" xfId="0" applyAlignment="1" applyBorder="1" applyFont="1" applyNumberFormat="1">
      <alignment horizontal="center" vertical="top"/>
    </xf>
    <xf borderId="34" fillId="0" fontId="2" numFmtId="164" xfId="0" applyAlignment="1" applyBorder="1" applyFont="1" applyNumberFormat="1">
      <alignment horizontal="center" vertical="top"/>
    </xf>
    <xf borderId="35" fillId="0" fontId="2" numFmtId="0" xfId="0" applyAlignment="1" applyBorder="1" applyFont="1">
      <alignment shrinkToFit="0" vertical="top" wrapText="1"/>
    </xf>
    <xf borderId="35" fillId="0" fontId="2" numFmtId="0" xfId="0" applyAlignment="1" applyBorder="1" applyFont="1">
      <alignment vertical="top"/>
    </xf>
    <xf borderId="35" fillId="0" fontId="2" numFmtId="9" xfId="0" applyAlignment="1" applyBorder="1" applyFont="1" applyNumberFormat="1">
      <alignment horizontal="center" vertical="top"/>
    </xf>
    <xf borderId="35" fillId="0" fontId="2" numFmtId="0" xfId="0" applyAlignment="1" applyBorder="1" applyFont="1">
      <alignment horizontal="center" vertical="top"/>
    </xf>
    <xf borderId="35" fillId="0" fontId="2" numFmtId="10" xfId="0" applyAlignment="1" applyBorder="1" applyFont="1" applyNumberFormat="1">
      <alignment vertical="top"/>
    </xf>
    <xf borderId="36" fillId="0" fontId="2" numFmtId="10" xfId="0" applyAlignment="1" applyBorder="1" applyFont="1" applyNumberFormat="1">
      <alignment vertical="top"/>
    </xf>
    <xf borderId="37" fillId="0" fontId="5" numFmtId="164" xfId="0" applyAlignment="1" applyBorder="1" applyFont="1" applyNumberFormat="1">
      <alignment vertical="top"/>
    </xf>
    <xf borderId="10" fillId="0" fontId="5" numFmtId="164" xfId="0" applyAlignment="1" applyBorder="1" applyFont="1" applyNumberFormat="1">
      <alignment vertical="top"/>
    </xf>
    <xf borderId="15" fillId="2" fontId="2" numFmtId="14" xfId="0" applyAlignment="1" applyBorder="1" applyFont="1" applyNumberFormat="1">
      <alignment horizontal="center" vertical="top"/>
    </xf>
    <xf borderId="15" fillId="2" fontId="2" numFmtId="1" xfId="0" applyAlignment="1" applyBorder="1" applyFont="1" applyNumberFormat="1">
      <alignment horizontal="center" vertical="top"/>
    </xf>
    <xf borderId="15" fillId="2" fontId="2" numFmtId="16" xfId="0" applyAlignment="1" applyBorder="1" applyFont="1" applyNumberFormat="1">
      <alignment horizontal="center" vertical="top"/>
    </xf>
    <xf borderId="15" fillId="2" fontId="2" numFmtId="0" xfId="0" applyAlignment="1" applyBorder="1" applyFont="1">
      <alignment horizontal="center" shrinkToFit="0" vertical="top" wrapText="1"/>
    </xf>
    <xf borderId="15" fillId="2" fontId="2" numFmtId="10" xfId="0" applyAlignment="1" applyBorder="1" applyFont="1" applyNumberFormat="1">
      <alignment horizontal="center" vertical="top"/>
    </xf>
    <xf borderId="35" fillId="2" fontId="2" numFmtId="0" xfId="0" applyAlignment="1" applyBorder="1" applyFont="1">
      <alignment vertical="top"/>
    </xf>
    <xf borderId="35" fillId="2" fontId="2" numFmtId="0" xfId="0" applyAlignment="1" applyBorder="1" applyFont="1">
      <alignment horizontal="center" shrinkToFit="0" vertical="top" wrapText="1"/>
    </xf>
    <xf borderId="35" fillId="2" fontId="2" numFmtId="10" xfId="0" applyAlignment="1" applyBorder="1" applyFont="1" applyNumberFormat="1">
      <alignment horizontal="center" vertical="top"/>
    </xf>
    <xf borderId="35" fillId="0" fontId="2" numFmtId="165" xfId="0" applyAlignment="1" applyBorder="1" applyFont="1" applyNumberFormat="1">
      <alignment vertical="top"/>
    </xf>
    <xf quotePrefix="1" borderId="30" fillId="5" fontId="5" numFmtId="0" xfId="0" applyAlignment="1" applyBorder="1" applyFont="1">
      <alignment horizontal="center" vertical="center"/>
    </xf>
    <xf borderId="15" fillId="0" fontId="2" numFmtId="165" xfId="0" applyAlignment="1" applyBorder="1" applyFont="1" applyNumberFormat="1">
      <alignment horizontal="center" vertical="top"/>
    </xf>
    <xf borderId="35" fillId="2" fontId="2" numFmtId="165" xfId="0" applyAlignment="1" applyBorder="1" applyFont="1" applyNumberFormat="1">
      <alignment horizontal="center" vertical="top"/>
    </xf>
    <xf borderId="35" fillId="0" fontId="2" numFmtId="10" xfId="0" applyAlignment="1" applyBorder="1" applyFont="1" applyNumberFormat="1">
      <alignment horizontal="center" vertical="top"/>
    </xf>
    <xf borderId="38" fillId="0" fontId="2" numFmtId="0" xfId="0" applyAlignment="1" applyBorder="1" applyFont="1">
      <alignment vertical="top"/>
    </xf>
    <xf borderId="39" fillId="0" fontId="2" numFmtId="0" xfId="0" applyAlignment="1" applyBorder="1" applyFont="1">
      <alignment horizontal="center" shrinkToFit="0" vertical="top" wrapText="1"/>
    </xf>
    <xf borderId="40" fillId="0" fontId="9" numFmtId="0" xfId="0" applyAlignment="1" applyBorder="1" applyFont="1">
      <alignment vertical="top"/>
    </xf>
    <xf borderId="40" fillId="0" fontId="2" numFmtId="0" xfId="0" applyAlignment="1" applyBorder="1" applyFont="1">
      <alignment vertical="top"/>
    </xf>
    <xf borderId="40" fillId="0" fontId="2" numFmtId="165" xfId="0" applyAlignment="1" applyBorder="1" applyFont="1" applyNumberFormat="1">
      <alignment vertical="top"/>
    </xf>
    <xf borderId="0" fillId="0" fontId="10" numFmtId="0" xfId="0" applyAlignment="1" applyFont="1">
      <alignment vertical="top"/>
    </xf>
    <xf borderId="40" fillId="0" fontId="2" numFmtId="15" xfId="0" applyAlignment="1" applyBorder="1" applyFont="1" applyNumberFormat="1">
      <alignment horizontal="center" shrinkToFit="0" vertical="top" wrapText="1"/>
    </xf>
    <xf borderId="40" fillId="0" fontId="2" numFmtId="0" xfId="0" applyAlignment="1" applyBorder="1" applyFont="1">
      <alignment shrinkToFit="0" vertical="top" wrapText="1"/>
    </xf>
    <xf borderId="39" fillId="0" fontId="5" numFmtId="0" xfId="0" applyAlignment="1" applyBorder="1" applyFont="1">
      <alignment horizontal="center" shrinkToFit="0" vertical="top" wrapText="1"/>
    </xf>
    <xf borderId="40" fillId="0" fontId="5" numFmtId="165" xfId="0" applyAlignment="1" applyBorder="1" applyFont="1" applyNumberFormat="1">
      <alignment vertical="top"/>
    </xf>
    <xf borderId="28" fillId="6" fontId="5" numFmtId="0" xfId="0" applyAlignment="1" applyBorder="1" applyFill="1" applyFont="1">
      <alignment horizontal="center" shrinkToFit="0" vertical="top" wrapText="1"/>
    </xf>
    <xf borderId="41" fillId="6" fontId="11" numFmtId="0" xfId="0" applyAlignment="1" applyBorder="1" applyFont="1">
      <alignment vertical="top"/>
    </xf>
    <xf borderId="41" fillId="6" fontId="5" numFmtId="0" xfId="0" applyAlignment="1" applyBorder="1" applyFont="1">
      <alignment vertical="top"/>
    </xf>
    <xf borderId="41" fillId="6" fontId="5" numFmtId="165" xfId="0" applyAlignment="1" applyBorder="1" applyFont="1" applyNumberFormat="1">
      <alignment vertical="top"/>
    </xf>
    <xf borderId="41" fillId="6" fontId="2" numFmtId="0" xfId="0" applyAlignment="1" applyBorder="1" applyFont="1">
      <alignment vertical="top"/>
    </xf>
    <xf borderId="17" fillId="6" fontId="5" numFmtId="0" xfId="0" applyAlignment="1" applyBorder="1" applyFont="1">
      <alignment horizontal="center" shrinkToFit="0" vertical="top" wrapText="1"/>
    </xf>
    <xf borderId="15" fillId="6" fontId="12" numFmtId="0" xfId="0" applyAlignment="1" applyBorder="1" applyFont="1">
      <alignment vertical="top"/>
    </xf>
    <xf borderId="15" fillId="6" fontId="5" numFmtId="0" xfId="0" applyAlignment="1" applyBorder="1" applyFont="1">
      <alignment vertical="top"/>
    </xf>
    <xf borderId="15" fillId="6" fontId="5" numFmtId="165" xfId="0" applyAlignment="1" applyBorder="1" applyFont="1" applyNumberFormat="1">
      <alignment vertical="top"/>
    </xf>
    <xf borderId="15" fillId="6" fontId="2" numFmtId="0" xfId="0" applyAlignment="1" applyBorder="1" applyFont="1">
      <alignment vertical="top"/>
    </xf>
    <xf borderId="33" fillId="6" fontId="5" numFmtId="0" xfId="0" applyAlignment="1" applyBorder="1" applyFont="1">
      <alignment horizontal="center" shrinkToFit="0" vertical="top" wrapText="1"/>
    </xf>
    <xf borderId="35" fillId="6" fontId="13" numFmtId="0" xfId="0" applyAlignment="1" applyBorder="1" applyFont="1">
      <alignment vertical="top"/>
    </xf>
    <xf borderId="35" fillId="6" fontId="5" numFmtId="0" xfId="0" applyAlignment="1" applyBorder="1" applyFont="1">
      <alignment vertical="top"/>
    </xf>
    <xf borderId="35" fillId="6" fontId="5" numFmtId="10" xfId="0" applyAlignment="1" applyBorder="1" applyFont="1" applyNumberFormat="1">
      <alignment vertical="top"/>
    </xf>
    <xf borderId="35" fillId="6" fontId="2" numFmtId="0" xfId="0" applyAlignment="1" applyBorder="1" applyFont="1">
      <alignment vertical="top"/>
    </xf>
    <xf borderId="35" fillId="2" fontId="2" numFmtId="0" xfId="0" applyAlignment="1" applyBorder="1" applyFont="1">
      <alignment horizontal="center" vertical="top"/>
    </xf>
    <xf borderId="30" fillId="5" fontId="5" numFmtId="0" xfId="0" applyAlignment="1" applyBorder="1" applyFont="1">
      <alignment horizontal="center" vertical="center"/>
    </xf>
    <xf borderId="41" fillId="5" fontId="5" numFmtId="0" xfId="0" applyAlignment="1" applyBorder="1" applyFont="1">
      <alignment horizontal="center" vertical="center"/>
    </xf>
    <xf borderId="42" fillId="5" fontId="5" numFmtId="0" xfId="0" applyAlignment="1" applyBorder="1" applyFont="1">
      <alignment horizontal="center" vertical="center"/>
    </xf>
    <xf borderId="43" fillId="2" fontId="2" numFmtId="0" xfId="0" applyAlignment="1" applyBorder="1" applyFont="1">
      <alignment horizontal="center" vertical="top"/>
    </xf>
    <xf borderId="44" fillId="2" fontId="2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1009650</xdr:colOff>
      <xdr:row>0</xdr:row>
      <xdr:rowOff>0</xdr:rowOff>
    </xdr:from>
    <xdr:ext cx="32575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2.71"/>
    <col customWidth="1" min="3" max="3" width="57.43"/>
    <col customWidth="1" min="4" max="4" width="10.71"/>
    <col customWidth="1" min="5" max="5" width="12.71"/>
    <col customWidth="1" min="6" max="6" width="16.29"/>
    <col customWidth="1" min="7" max="8" width="23.71"/>
    <col customWidth="1" min="9" max="28" width="9.29"/>
  </cols>
  <sheetData>
    <row r="1">
      <c r="A1" s="1" t="s">
        <v>0</v>
      </c>
      <c r="B1" s="1"/>
      <c r="C1" s="2"/>
      <c r="D1" s="2"/>
      <c r="E1" s="3"/>
      <c r="F1" s="3"/>
      <c r="G1" s="2"/>
      <c r="H1" s="4"/>
      <c r="I1" s="5"/>
      <c r="J1" s="5"/>
      <c r="K1" s="5"/>
      <c r="L1" s="5" t="str">
        <f t="array" ref="L1:M1">A11:C100&amp;"|"</f>
        <v>#REF!</v>
      </c>
      <c r="M1" s="5" t="str">
        <f>TEXTJOIN("~",FALSE,A11:C100)</f>
        <v>No.:~Div.:~Disciplines~1.~02 00 00~ Demolition~2.~01 10 00~ Final Clean~3.~02 01 00~Maintenance of Existing Conditions~4.~02 20 00~Assessment of Existing Conditions~5.~03 00 00~Concrete~6.~04 00 00~Masonry~7.~05 10 00~Structural Steel / Metal Framing~8.~05 40 00~Cold-Formed Metal Framing~9.~05 51 00~Metal Stairs~10.~06 00 00~Wood, Plastics &amp; Composites~11.~06 10 00~ Carpentry~12.~06 20 00~Finish Carpentry / Millwork~13.~06 60 00~Plastic Fabrications - Solid Surfaces~14.~06 80 00~Composite Fabrications~15.~07 00 00~Thermal and Moisture Protection~16.~07 40 00~Roofing and Siding Panels - Specialties &amp; Accessories~17.~08 00 00~ Doors, Frames &amp; Hardware~18.~08 43 00~ Storefronts - Glass Partitions / Demountable Walls~19.~08 50 00~ Aluminum Windows - Glass &amp; Glazing~20.~08 56 59~Specialty Windows &amp; Equipment - Transactions / Teller~21.~09 00 00~Finishes~22.~09 20 00~Gypsum Board Assemblies~23.~09 30 00~Tiling - Floor~24.~09 30 00~Tiling - Wall~25.~09 51 00~Acoustucal Ceilings~26.~09 60 00~Flooring~27.~09 70 00~Wall Finishes~28.~10 00 00~Specialties~29.~10 28 00~Toilet Accessories~30.~10 51 00~Lockers~31.~11 14 00~ Security System - Turnstiles~32.~11 31 00~ Appliances~33.~12 20000~ Window Treatments~34.~14 00 00~ Elevators~35.~22 00 00~ Plumbing~36.~23 00 00~HVAC~37.~15 00 00~ Fire Protection~38.~26 00 00~ Electrical~39.~27 00 00~Low-Voltage / Tel-Data~40.~31 00 00~Earthwork~41.~31 10 00~Site Clearing~42.~32 00 00~Site Improvements - Concrete Paving, Bollards, Security Gates~43.~~ Allowance #1 (ex Permit)~44.~~ Allowance #2~45.~~ Allowance #3~~~Sub-Total Construction Costs~46.~~ General Conditions~47.~~ Estimating/Pre Construction~48.~~ Final Clean~49.~~ Builders Risk Insurance~50.~~ Gross Tax Receipts~51.~~ Subguard SDI Bond~52.~~ General Commerical Insurance~53.~~ Overhead, Profit &amp; Fees~54.~~ Other TBD~55.~~ Other TBD~~~Sub-Total Other Costs~56.~~Special Breakout - TDB #1~57.~~Special Breakout - TDB #2~58.~~Special Breakout - TDB #3~~~Sub-Total Special Breakouts~~~TOTAL CONSTRUCTION BID~~~~~~~Overhead &amp; Profit Mark-Up~~~1.~~Work Performed By Contractors Own Forces (as %)~2.~~Work Performed By Sub-Contractors (as %)~3.~~Change Order Mark-Up (%) General Contractor (OH &amp; P)~4.~~Change Order Mark-Up (%) Sub-Contractors and Suppliers (OH&amp;P)~~~~~~~Contract Time &amp; Logistics~~~1.~~Date Of Commencement~2.~~Substantial Completion Date~3.~~Number of Crews / employees per crew~4.~~Square Feet~5.~~~~~~Labor Rates By Position~~~1.~~Foreman~2.~~Journeyman~3.~~Laborer~~~TOTAL BASE CONTRACT VALUE BEFORE CHANGES~~~CHANGE ORDERS~~~SUB-CONTRACTOR MARK-UP~~~GENERAL CONTRACTOR MARK-UP~~~TOTAL VALUE OF CHANGE ORDERS WITH MARK-UPS~~~TOTAL POTENTIAL COST OF CONSTRUCTION, GENERAL CONDITIONS AND MARK-UP'S (BASED ON ASSUMED BID VALUE AND CHANGE ORDERS)~~~VARIANCE BETWEEN CONTRACTORS BEFORE INSURANCE AND BONDS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1" t="s">
        <v>1</v>
      </c>
      <c r="B2" s="1"/>
      <c r="C2" s="2"/>
      <c r="D2" s="2"/>
      <c r="E2" s="3"/>
      <c r="F2" s="3"/>
      <c r="G2" s="2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4"/>
      <c r="B3" s="4"/>
      <c r="C3" s="5"/>
      <c r="D3" s="2"/>
      <c r="E3" s="3"/>
      <c r="F3" s="3"/>
      <c r="G3" s="2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7" t="s">
        <v>2</v>
      </c>
      <c r="B4" s="7"/>
      <c r="C4" s="5"/>
      <c r="D4" s="2"/>
      <c r="E4" s="3"/>
      <c r="F4" s="3"/>
      <c r="G4" s="2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8" t="s">
        <v>3</v>
      </c>
      <c r="B5" s="9"/>
      <c r="C5" s="10"/>
      <c r="D5" s="2"/>
      <c r="E5" s="3"/>
      <c r="F5" s="3"/>
      <c r="G5" s="2"/>
      <c r="H5" s="6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11"/>
      <c r="C6" s="12"/>
      <c r="D6" s="13"/>
      <c r="E6" s="13"/>
      <c r="F6" s="13"/>
      <c r="G6" s="13"/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11"/>
      <c r="C7" s="12"/>
      <c r="D7" s="13"/>
      <c r="E7" s="13"/>
      <c r="F7" s="13"/>
      <c r="G7" s="13"/>
      <c r="H7" s="1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15"/>
      <c r="B8" s="16"/>
      <c r="C8" s="17"/>
      <c r="D8" s="2"/>
      <c r="E8" s="3"/>
      <c r="F8" s="3"/>
      <c r="G8" s="2"/>
      <c r="H8" s="18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5"/>
      <c r="B9" s="5"/>
      <c r="C9" s="5"/>
      <c r="D9" s="19" t="s">
        <v>4</v>
      </c>
      <c r="E9" s="20"/>
      <c r="F9" s="20"/>
      <c r="G9" s="20"/>
      <c r="H9" s="21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22" t="s">
        <v>5</v>
      </c>
      <c r="B10" s="23"/>
      <c r="C10" s="24"/>
      <c r="D10" s="25" t="s">
        <v>6</v>
      </c>
      <c r="E10" s="25" t="s">
        <v>7</v>
      </c>
      <c r="F10" s="25" t="s">
        <v>8</v>
      </c>
      <c r="G10" s="25" t="s">
        <v>9</v>
      </c>
      <c r="H10" s="26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27" t="s">
        <v>10</v>
      </c>
      <c r="B11" s="28" t="s">
        <v>11</v>
      </c>
      <c r="C11" s="29" t="s">
        <v>12</v>
      </c>
      <c r="D11" s="30"/>
      <c r="E11" s="31"/>
      <c r="F11" s="31"/>
      <c r="G11" s="31"/>
      <c r="H11" s="32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33">
        <v>1.0</v>
      </c>
      <c r="B12" s="34" t="s">
        <v>13</v>
      </c>
      <c r="C12" s="35" t="s">
        <v>14</v>
      </c>
      <c r="D12" s="36"/>
      <c r="E12" s="36"/>
      <c r="F12" s="37">
        <v>0.0</v>
      </c>
      <c r="G12" s="38">
        <f t="shared" ref="G12:G56" si="1">D12*F12</f>
        <v>0</v>
      </c>
      <c r="H12" s="39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33">
        <v>2.0</v>
      </c>
      <c r="B13" s="34" t="s">
        <v>15</v>
      </c>
      <c r="C13" s="35" t="s">
        <v>16</v>
      </c>
      <c r="D13" s="36"/>
      <c r="E13" s="36"/>
      <c r="F13" s="37">
        <v>0.0</v>
      </c>
      <c r="G13" s="38">
        <f t="shared" si="1"/>
        <v>0</v>
      </c>
      <c r="H13" s="39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33">
        <v>3.0</v>
      </c>
      <c r="B14" s="34" t="s">
        <v>17</v>
      </c>
      <c r="C14" s="35" t="s">
        <v>18</v>
      </c>
      <c r="D14" s="36"/>
      <c r="E14" s="36"/>
      <c r="F14" s="37">
        <v>0.0</v>
      </c>
      <c r="G14" s="38">
        <f t="shared" si="1"/>
        <v>0</v>
      </c>
      <c r="H14" s="39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33">
        <v>4.0</v>
      </c>
      <c r="B15" s="34" t="s">
        <v>19</v>
      </c>
      <c r="C15" s="35" t="s">
        <v>20</v>
      </c>
      <c r="D15" s="36"/>
      <c r="E15" s="36"/>
      <c r="F15" s="37">
        <v>0.0</v>
      </c>
      <c r="G15" s="38">
        <f t="shared" si="1"/>
        <v>0</v>
      </c>
      <c r="H15" s="39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33">
        <v>5.0</v>
      </c>
      <c r="B16" s="34" t="s">
        <v>21</v>
      </c>
      <c r="C16" s="35" t="s">
        <v>22</v>
      </c>
      <c r="D16" s="40"/>
      <c r="E16" s="40"/>
      <c r="F16" s="37">
        <v>0.0</v>
      </c>
      <c r="G16" s="38">
        <f t="shared" si="1"/>
        <v>0</v>
      </c>
      <c r="H16" s="39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33">
        <v>6.0</v>
      </c>
      <c r="B17" s="34" t="s">
        <v>23</v>
      </c>
      <c r="C17" s="35" t="s">
        <v>24</v>
      </c>
      <c r="D17" s="40"/>
      <c r="E17" s="40"/>
      <c r="F17" s="37">
        <v>0.0</v>
      </c>
      <c r="G17" s="38">
        <f t="shared" si="1"/>
        <v>0</v>
      </c>
      <c r="H17" s="39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33">
        <v>7.0</v>
      </c>
      <c r="B18" s="34" t="s">
        <v>25</v>
      </c>
      <c r="C18" s="35" t="s">
        <v>26</v>
      </c>
      <c r="D18" s="40"/>
      <c r="E18" s="40"/>
      <c r="F18" s="37">
        <v>0.0</v>
      </c>
      <c r="G18" s="38">
        <f t="shared" si="1"/>
        <v>0</v>
      </c>
      <c r="H18" s="3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33">
        <v>8.0</v>
      </c>
      <c r="B19" s="34" t="s">
        <v>27</v>
      </c>
      <c r="C19" s="35" t="s">
        <v>28</v>
      </c>
      <c r="D19" s="40"/>
      <c r="E19" s="40"/>
      <c r="F19" s="37">
        <v>0.0</v>
      </c>
      <c r="G19" s="38">
        <f t="shared" si="1"/>
        <v>0</v>
      </c>
      <c r="H19" s="39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33">
        <v>9.0</v>
      </c>
      <c r="B20" s="34" t="s">
        <v>29</v>
      </c>
      <c r="C20" s="35" t="s">
        <v>30</v>
      </c>
      <c r="D20" s="40"/>
      <c r="E20" s="40"/>
      <c r="F20" s="37">
        <v>0.0</v>
      </c>
      <c r="G20" s="38">
        <f t="shared" si="1"/>
        <v>0</v>
      </c>
      <c r="H20" s="3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15.75" customHeight="1">
      <c r="A21" s="33">
        <v>10.0</v>
      </c>
      <c r="B21" s="34" t="s">
        <v>31</v>
      </c>
      <c r="C21" s="35" t="s">
        <v>32</v>
      </c>
      <c r="D21" s="40"/>
      <c r="E21" s="40"/>
      <c r="F21" s="37">
        <v>0.0</v>
      </c>
      <c r="G21" s="38">
        <f t="shared" si="1"/>
        <v>0</v>
      </c>
      <c r="H21" s="39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15.75" customHeight="1">
      <c r="A22" s="33">
        <v>11.0</v>
      </c>
      <c r="B22" s="34" t="s">
        <v>33</v>
      </c>
      <c r="C22" s="35" t="s">
        <v>34</v>
      </c>
      <c r="D22" s="40"/>
      <c r="E22" s="40"/>
      <c r="F22" s="37">
        <v>0.0</v>
      </c>
      <c r="G22" s="38">
        <f t="shared" si="1"/>
        <v>0</v>
      </c>
      <c r="H22" s="39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>
      <c r="A23" s="33">
        <v>12.0</v>
      </c>
      <c r="B23" s="34" t="s">
        <v>35</v>
      </c>
      <c r="C23" s="35" t="s">
        <v>36</v>
      </c>
      <c r="D23" s="40"/>
      <c r="E23" s="40"/>
      <c r="F23" s="37">
        <v>0.0</v>
      </c>
      <c r="G23" s="38">
        <f t="shared" si="1"/>
        <v>0</v>
      </c>
      <c r="H23" s="39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>
      <c r="A24" s="33">
        <v>13.0</v>
      </c>
      <c r="B24" s="34" t="s">
        <v>37</v>
      </c>
      <c r="C24" s="35" t="s">
        <v>38</v>
      </c>
      <c r="D24" s="40"/>
      <c r="E24" s="40"/>
      <c r="F24" s="37">
        <v>0.0</v>
      </c>
      <c r="G24" s="38">
        <f t="shared" si="1"/>
        <v>0</v>
      </c>
      <c r="H24" s="39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5.75" customHeight="1">
      <c r="A25" s="33">
        <v>14.0</v>
      </c>
      <c r="B25" s="34" t="s">
        <v>39</v>
      </c>
      <c r="C25" s="35" t="s">
        <v>40</v>
      </c>
      <c r="D25" s="40"/>
      <c r="E25" s="40"/>
      <c r="F25" s="37">
        <v>0.0</v>
      </c>
      <c r="G25" s="38">
        <f t="shared" si="1"/>
        <v>0</v>
      </c>
      <c r="H25" s="39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15.75" customHeight="1">
      <c r="A26" s="33">
        <v>15.0</v>
      </c>
      <c r="B26" s="34" t="s">
        <v>41</v>
      </c>
      <c r="C26" s="35" t="s">
        <v>42</v>
      </c>
      <c r="D26" s="40"/>
      <c r="E26" s="40"/>
      <c r="F26" s="37">
        <v>0.0</v>
      </c>
      <c r="G26" s="38">
        <f t="shared" si="1"/>
        <v>0</v>
      </c>
      <c r="H26" s="39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15.75" customHeight="1">
      <c r="A27" s="33">
        <v>16.0</v>
      </c>
      <c r="B27" s="34" t="s">
        <v>43</v>
      </c>
      <c r="C27" s="35" t="s">
        <v>44</v>
      </c>
      <c r="D27" s="40"/>
      <c r="E27" s="40"/>
      <c r="F27" s="37">
        <v>0.0</v>
      </c>
      <c r="G27" s="38">
        <f t="shared" si="1"/>
        <v>0</v>
      </c>
      <c r="H27" s="3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15.75" customHeight="1">
      <c r="A28" s="33">
        <v>17.0</v>
      </c>
      <c r="B28" s="34" t="s">
        <v>45</v>
      </c>
      <c r="C28" s="35" t="s">
        <v>46</v>
      </c>
      <c r="D28" s="40"/>
      <c r="E28" s="40"/>
      <c r="F28" s="37">
        <v>0.0</v>
      </c>
      <c r="G28" s="38">
        <f t="shared" si="1"/>
        <v>0</v>
      </c>
      <c r="H28" s="39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15.75" customHeight="1">
      <c r="A29" s="33">
        <v>18.0</v>
      </c>
      <c r="B29" s="34" t="s">
        <v>47</v>
      </c>
      <c r="C29" s="35" t="s">
        <v>48</v>
      </c>
      <c r="D29" s="40"/>
      <c r="E29" s="40"/>
      <c r="F29" s="37">
        <v>0.0</v>
      </c>
      <c r="G29" s="38">
        <f t="shared" si="1"/>
        <v>0</v>
      </c>
      <c r="H29" s="39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15.75" customHeight="1">
      <c r="A30" s="33">
        <v>19.0</v>
      </c>
      <c r="B30" s="34" t="s">
        <v>49</v>
      </c>
      <c r="C30" s="35" t="s">
        <v>50</v>
      </c>
      <c r="D30" s="40"/>
      <c r="E30" s="40"/>
      <c r="F30" s="37">
        <v>0.0</v>
      </c>
      <c r="G30" s="38">
        <f t="shared" si="1"/>
        <v>0</v>
      </c>
      <c r="H30" s="39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5.75" customHeight="1">
      <c r="A31" s="33">
        <v>20.0</v>
      </c>
      <c r="B31" s="34" t="s">
        <v>51</v>
      </c>
      <c r="C31" s="35" t="s">
        <v>52</v>
      </c>
      <c r="D31" s="40"/>
      <c r="E31" s="40"/>
      <c r="F31" s="37">
        <v>0.0</v>
      </c>
      <c r="G31" s="38">
        <f t="shared" si="1"/>
        <v>0</v>
      </c>
      <c r="H31" s="39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15.75" customHeight="1">
      <c r="A32" s="33">
        <v>21.0</v>
      </c>
      <c r="B32" s="34" t="s">
        <v>53</v>
      </c>
      <c r="C32" s="35" t="s">
        <v>54</v>
      </c>
      <c r="D32" s="40"/>
      <c r="E32" s="40"/>
      <c r="F32" s="37">
        <v>0.0</v>
      </c>
      <c r="G32" s="38">
        <f t="shared" si="1"/>
        <v>0</v>
      </c>
      <c r="H32" s="39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5.75" customHeight="1">
      <c r="A33" s="33">
        <v>22.0</v>
      </c>
      <c r="B33" s="34" t="s">
        <v>55</v>
      </c>
      <c r="C33" s="35" t="s">
        <v>56</v>
      </c>
      <c r="D33" s="40"/>
      <c r="E33" s="40"/>
      <c r="F33" s="37">
        <v>0.0</v>
      </c>
      <c r="G33" s="38">
        <f t="shared" si="1"/>
        <v>0</v>
      </c>
      <c r="H33" s="39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15.75" customHeight="1">
      <c r="A34" s="33">
        <v>23.0</v>
      </c>
      <c r="B34" s="34" t="s">
        <v>57</v>
      </c>
      <c r="C34" s="35" t="s">
        <v>58</v>
      </c>
      <c r="D34" s="40"/>
      <c r="E34" s="40"/>
      <c r="F34" s="37">
        <v>0.0</v>
      </c>
      <c r="G34" s="38">
        <f t="shared" si="1"/>
        <v>0</v>
      </c>
      <c r="H34" s="39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5.75" customHeight="1">
      <c r="A35" s="33">
        <v>24.0</v>
      </c>
      <c r="B35" s="34" t="s">
        <v>57</v>
      </c>
      <c r="C35" s="35" t="s">
        <v>59</v>
      </c>
      <c r="D35" s="40"/>
      <c r="E35" s="40"/>
      <c r="F35" s="37">
        <v>0.0</v>
      </c>
      <c r="G35" s="38">
        <f t="shared" si="1"/>
        <v>0</v>
      </c>
      <c r="H35" s="39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5.75" customHeight="1">
      <c r="A36" s="33">
        <v>25.0</v>
      </c>
      <c r="B36" s="34" t="s">
        <v>60</v>
      </c>
      <c r="C36" s="35" t="s">
        <v>61</v>
      </c>
      <c r="D36" s="40"/>
      <c r="E36" s="40"/>
      <c r="F36" s="37">
        <v>0.0</v>
      </c>
      <c r="G36" s="38">
        <f t="shared" si="1"/>
        <v>0</v>
      </c>
      <c r="H36" s="39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5.75" customHeight="1">
      <c r="A37" s="33">
        <v>26.0</v>
      </c>
      <c r="B37" s="34" t="s">
        <v>62</v>
      </c>
      <c r="C37" s="35" t="s">
        <v>63</v>
      </c>
      <c r="D37" s="40"/>
      <c r="E37" s="40"/>
      <c r="F37" s="37">
        <v>0.0</v>
      </c>
      <c r="G37" s="38">
        <f t="shared" si="1"/>
        <v>0</v>
      </c>
      <c r="H37" s="39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5.75" customHeight="1">
      <c r="A38" s="33">
        <v>27.0</v>
      </c>
      <c r="B38" s="34" t="s">
        <v>64</v>
      </c>
      <c r="C38" s="35" t="s">
        <v>65</v>
      </c>
      <c r="D38" s="40"/>
      <c r="E38" s="40"/>
      <c r="F38" s="37">
        <v>0.0</v>
      </c>
      <c r="G38" s="38">
        <f t="shared" si="1"/>
        <v>0</v>
      </c>
      <c r="H38" s="39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5.75" customHeight="1">
      <c r="A39" s="33">
        <v>28.0</v>
      </c>
      <c r="B39" s="34" t="s">
        <v>66</v>
      </c>
      <c r="C39" s="35" t="s">
        <v>67</v>
      </c>
      <c r="D39" s="40"/>
      <c r="E39" s="40"/>
      <c r="F39" s="37">
        <v>0.0</v>
      </c>
      <c r="G39" s="38">
        <f t="shared" si="1"/>
        <v>0</v>
      </c>
      <c r="H39" s="39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5.75" customHeight="1">
      <c r="A40" s="33">
        <v>29.0</v>
      </c>
      <c r="B40" s="34" t="s">
        <v>68</v>
      </c>
      <c r="C40" s="35" t="s">
        <v>69</v>
      </c>
      <c r="D40" s="40"/>
      <c r="E40" s="40"/>
      <c r="F40" s="37">
        <v>0.0</v>
      </c>
      <c r="G40" s="38">
        <f t="shared" si="1"/>
        <v>0</v>
      </c>
      <c r="H40" s="39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5.75" customHeight="1">
      <c r="A41" s="33">
        <v>30.0</v>
      </c>
      <c r="B41" s="34" t="s">
        <v>70</v>
      </c>
      <c r="C41" s="35" t="s">
        <v>71</v>
      </c>
      <c r="D41" s="40"/>
      <c r="E41" s="40"/>
      <c r="F41" s="37">
        <v>0.0</v>
      </c>
      <c r="G41" s="38">
        <f t="shared" si="1"/>
        <v>0</v>
      </c>
      <c r="H41" s="39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15.75" customHeight="1">
      <c r="A42" s="33">
        <v>31.0</v>
      </c>
      <c r="B42" s="34" t="s">
        <v>72</v>
      </c>
      <c r="C42" s="35" t="s">
        <v>73</v>
      </c>
      <c r="D42" s="40"/>
      <c r="E42" s="40"/>
      <c r="F42" s="37">
        <v>0.0</v>
      </c>
      <c r="G42" s="38">
        <f t="shared" si="1"/>
        <v>0</v>
      </c>
      <c r="H42" s="39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5.75" customHeight="1">
      <c r="A43" s="33">
        <v>32.0</v>
      </c>
      <c r="B43" s="34" t="s">
        <v>74</v>
      </c>
      <c r="C43" s="35" t="s">
        <v>75</v>
      </c>
      <c r="D43" s="40"/>
      <c r="E43" s="40"/>
      <c r="F43" s="37">
        <v>0.0</v>
      </c>
      <c r="G43" s="38">
        <f t="shared" si="1"/>
        <v>0</v>
      </c>
      <c r="H43" s="39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5.75" customHeight="1">
      <c r="A44" s="33">
        <v>33.0</v>
      </c>
      <c r="B44" s="34" t="s">
        <v>76</v>
      </c>
      <c r="C44" s="35" t="s">
        <v>77</v>
      </c>
      <c r="D44" s="40"/>
      <c r="E44" s="40"/>
      <c r="F44" s="37">
        <v>0.0</v>
      </c>
      <c r="G44" s="38">
        <f t="shared" si="1"/>
        <v>0</v>
      </c>
      <c r="H44" s="39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5.75" customHeight="1">
      <c r="A45" s="33">
        <v>34.0</v>
      </c>
      <c r="B45" s="34" t="s">
        <v>78</v>
      </c>
      <c r="C45" s="35" t="s">
        <v>79</v>
      </c>
      <c r="D45" s="40"/>
      <c r="E45" s="40"/>
      <c r="F45" s="37">
        <v>0.0</v>
      </c>
      <c r="G45" s="38">
        <f t="shared" si="1"/>
        <v>0</v>
      </c>
      <c r="H45" s="39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5.75" customHeight="1">
      <c r="A46" s="33">
        <v>35.0</v>
      </c>
      <c r="B46" s="34" t="s">
        <v>80</v>
      </c>
      <c r="C46" s="35" t="s">
        <v>81</v>
      </c>
      <c r="D46" s="40"/>
      <c r="E46" s="40"/>
      <c r="F46" s="37">
        <v>0.0</v>
      </c>
      <c r="G46" s="38">
        <f t="shared" si="1"/>
        <v>0</v>
      </c>
      <c r="H46" s="39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5.75" customHeight="1">
      <c r="A47" s="33">
        <v>36.0</v>
      </c>
      <c r="B47" s="34" t="s">
        <v>82</v>
      </c>
      <c r="C47" s="35" t="s">
        <v>83</v>
      </c>
      <c r="D47" s="40"/>
      <c r="E47" s="40"/>
      <c r="F47" s="37">
        <v>0.0</v>
      </c>
      <c r="G47" s="38">
        <f t="shared" si="1"/>
        <v>0</v>
      </c>
      <c r="H47" s="39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5.75" customHeight="1">
      <c r="A48" s="33">
        <v>37.0</v>
      </c>
      <c r="B48" s="34" t="s">
        <v>84</v>
      </c>
      <c r="C48" s="35" t="s">
        <v>85</v>
      </c>
      <c r="D48" s="40"/>
      <c r="E48" s="40"/>
      <c r="F48" s="37">
        <v>0.0</v>
      </c>
      <c r="G48" s="38">
        <f t="shared" si="1"/>
        <v>0</v>
      </c>
      <c r="H48" s="39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5.75" customHeight="1">
      <c r="A49" s="33">
        <v>38.0</v>
      </c>
      <c r="B49" s="34" t="s">
        <v>86</v>
      </c>
      <c r="C49" s="35" t="s">
        <v>87</v>
      </c>
      <c r="D49" s="40"/>
      <c r="E49" s="40"/>
      <c r="F49" s="37">
        <v>0.0</v>
      </c>
      <c r="G49" s="38">
        <f t="shared" si="1"/>
        <v>0</v>
      </c>
      <c r="H49" s="39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5.75" customHeight="1">
      <c r="A50" s="33">
        <v>39.0</v>
      </c>
      <c r="B50" s="34" t="s">
        <v>88</v>
      </c>
      <c r="C50" s="35" t="s">
        <v>89</v>
      </c>
      <c r="D50" s="40"/>
      <c r="E50" s="40"/>
      <c r="F50" s="37">
        <v>0.0</v>
      </c>
      <c r="G50" s="38">
        <f t="shared" si="1"/>
        <v>0</v>
      </c>
      <c r="H50" s="39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5.75" customHeight="1">
      <c r="A51" s="33">
        <v>40.0</v>
      </c>
      <c r="B51" s="34" t="s">
        <v>90</v>
      </c>
      <c r="C51" s="35" t="s">
        <v>91</v>
      </c>
      <c r="D51" s="40"/>
      <c r="E51" s="40"/>
      <c r="F51" s="37">
        <v>0.0</v>
      </c>
      <c r="G51" s="38">
        <f t="shared" si="1"/>
        <v>0</v>
      </c>
      <c r="H51" s="39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5.75" customHeight="1">
      <c r="A52" s="33">
        <v>41.0</v>
      </c>
      <c r="B52" s="34" t="s">
        <v>92</v>
      </c>
      <c r="C52" s="35" t="s">
        <v>93</v>
      </c>
      <c r="D52" s="40"/>
      <c r="E52" s="40"/>
      <c r="F52" s="37">
        <v>0.0</v>
      </c>
      <c r="G52" s="38">
        <f t="shared" si="1"/>
        <v>0</v>
      </c>
      <c r="H52" s="39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5.75" customHeight="1">
      <c r="A53" s="33">
        <v>42.0</v>
      </c>
      <c r="B53" s="34" t="s">
        <v>94</v>
      </c>
      <c r="C53" s="35" t="s">
        <v>95</v>
      </c>
      <c r="D53" s="40"/>
      <c r="E53" s="40"/>
      <c r="F53" s="37">
        <v>0.0</v>
      </c>
      <c r="G53" s="38">
        <f t="shared" si="1"/>
        <v>0</v>
      </c>
      <c r="H53" s="39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5.75" customHeight="1">
      <c r="A54" s="33">
        <v>43.0</v>
      </c>
      <c r="B54" s="34"/>
      <c r="C54" s="35" t="s">
        <v>96</v>
      </c>
      <c r="D54" s="40"/>
      <c r="E54" s="40"/>
      <c r="F54" s="37">
        <v>0.0</v>
      </c>
      <c r="G54" s="38">
        <f t="shared" si="1"/>
        <v>0</v>
      </c>
      <c r="H54" s="39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5.75" customHeight="1">
      <c r="A55" s="33">
        <v>44.0</v>
      </c>
      <c r="B55" s="34"/>
      <c r="C55" s="35" t="s">
        <v>97</v>
      </c>
      <c r="D55" s="40"/>
      <c r="E55" s="40"/>
      <c r="F55" s="37">
        <v>0.0</v>
      </c>
      <c r="G55" s="38">
        <f t="shared" si="1"/>
        <v>0</v>
      </c>
      <c r="H55" s="39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5.75" customHeight="1">
      <c r="A56" s="33">
        <v>45.0</v>
      </c>
      <c r="B56" s="34"/>
      <c r="C56" s="35" t="s">
        <v>98</v>
      </c>
      <c r="D56" s="40"/>
      <c r="E56" s="40"/>
      <c r="F56" s="37">
        <v>0.0</v>
      </c>
      <c r="G56" s="38">
        <f t="shared" si="1"/>
        <v>0</v>
      </c>
      <c r="H56" s="39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5.75" customHeight="1">
      <c r="A57" s="41"/>
      <c r="B57" s="42"/>
      <c r="C57" s="43" t="s">
        <v>99</v>
      </c>
      <c r="D57" s="44"/>
      <c r="E57" s="44"/>
      <c r="F57" s="45"/>
      <c r="G57" s="45">
        <f>SUBTOTAL(9,G12:G56)</f>
        <v>0</v>
      </c>
      <c r="H57" s="46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15.75" customHeight="1">
      <c r="A58" s="33">
        <v>46.0</v>
      </c>
      <c r="B58" s="47"/>
      <c r="C58" s="35" t="s">
        <v>100</v>
      </c>
      <c r="D58" s="40"/>
      <c r="E58" s="40"/>
      <c r="F58" s="37">
        <v>0.0</v>
      </c>
      <c r="G58" s="38">
        <f t="shared" ref="G58:G67" si="2">D58*F58</f>
        <v>0</v>
      </c>
      <c r="H58" s="48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5.75" customHeight="1">
      <c r="A59" s="33">
        <v>47.0</v>
      </c>
      <c r="B59" s="47"/>
      <c r="C59" s="35" t="s">
        <v>101</v>
      </c>
      <c r="D59" s="40"/>
      <c r="E59" s="40"/>
      <c r="F59" s="37">
        <v>0.0</v>
      </c>
      <c r="G59" s="38">
        <f t="shared" si="2"/>
        <v>0</v>
      </c>
      <c r="H59" s="49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5.75" customHeight="1">
      <c r="A60" s="33">
        <v>48.0</v>
      </c>
      <c r="B60" s="47"/>
      <c r="C60" s="35" t="s">
        <v>16</v>
      </c>
      <c r="D60" s="40"/>
      <c r="E60" s="40"/>
      <c r="F60" s="37">
        <v>0.0</v>
      </c>
      <c r="G60" s="38">
        <f t="shared" si="2"/>
        <v>0</v>
      </c>
      <c r="H60" s="49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5.75" customHeight="1">
      <c r="A61" s="33">
        <v>49.0</v>
      </c>
      <c r="B61" s="47"/>
      <c r="C61" s="35" t="s">
        <v>102</v>
      </c>
      <c r="D61" s="40"/>
      <c r="E61" s="40"/>
      <c r="F61" s="37">
        <v>0.0</v>
      </c>
      <c r="G61" s="38">
        <f t="shared" si="2"/>
        <v>0</v>
      </c>
      <c r="H61" s="49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5.75" customHeight="1">
      <c r="A62" s="33">
        <v>50.0</v>
      </c>
      <c r="B62" s="47"/>
      <c r="C62" s="35" t="s">
        <v>103</v>
      </c>
      <c r="D62" s="40"/>
      <c r="E62" s="40"/>
      <c r="F62" s="37">
        <v>0.0</v>
      </c>
      <c r="G62" s="38">
        <f t="shared" si="2"/>
        <v>0</v>
      </c>
      <c r="H62" s="49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5.75" customHeight="1">
      <c r="A63" s="33">
        <v>51.0</v>
      </c>
      <c r="B63" s="47"/>
      <c r="C63" s="35" t="s">
        <v>104</v>
      </c>
      <c r="D63" s="40"/>
      <c r="E63" s="40"/>
      <c r="F63" s="37">
        <v>0.0</v>
      </c>
      <c r="G63" s="38">
        <f t="shared" si="2"/>
        <v>0</v>
      </c>
      <c r="H63" s="49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5.75" customHeight="1">
      <c r="A64" s="33">
        <v>52.0</v>
      </c>
      <c r="B64" s="47"/>
      <c r="C64" s="35" t="s">
        <v>105</v>
      </c>
      <c r="D64" s="40"/>
      <c r="E64" s="40"/>
      <c r="F64" s="37">
        <v>0.0</v>
      </c>
      <c r="G64" s="38">
        <f t="shared" si="2"/>
        <v>0</v>
      </c>
      <c r="H64" s="49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5.75" customHeight="1">
      <c r="A65" s="33">
        <v>53.0</v>
      </c>
      <c r="B65" s="47"/>
      <c r="C65" s="35" t="s">
        <v>106</v>
      </c>
      <c r="D65" s="40"/>
      <c r="E65" s="40"/>
      <c r="F65" s="37">
        <v>0.0</v>
      </c>
      <c r="G65" s="38">
        <f t="shared" si="2"/>
        <v>0</v>
      </c>
      <c r="H65" s="49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5.75" customHeight="1">
      <c r="A66" s="33">
        <v>54.0</v>
      </c>
      <c r="B66" s="47"/>
      <c r="C66" s="35" t="s">
        <v>107</v>
      </c>
      <c r="D66" s="40"/>
      <c r="E66" s="40"/>
      <c r="F66" s="37">
        <v>0.0</v>
      </c>
      <c r="G66" s="38">
        <f t="shared" si="2"/>
        <v>0</v>
      </c>
      <c r="H66" s="48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5.75" customHeight="1">
      <c r="A67" s="33">
        <v>55.0</v>
      </c>
      <c r="B67" s="47"/>
      <c r="C67" s="35" t="s">
        <v>107</v>
      </c>
      <c r="D67" s="40"/>
      <c r="E67" s="40"/>
      <c r="F67" s="37">
        <v>0.0</v>
      </c>
      <c r="G67" s="38">
        <f t="shared" si="2"/>
        <v>0</v>
      </c>
      <c r="H67" s="48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5.75" customHeight="1">
      <c r="A68" s="41"/>
      <c r="B68" s="42"/>
      <c r="C68" s="43" t="s">
        <v>108</v>
      </c>
      <c r="D68" s="44"/>
      <c r="E68" s="50"/>
      <c r="F68" s="45"/>
      <c r="G68" s="51">
        <f>SUBTOTAL(9,G58:G67)</f>
        <v>0</v>
      </c>
      <c r="H68" s="5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5.75" customHeight="1">
      <c r="A69" s="33">
        <v>56.0</v>
      </c>
      <c r="B69" s="47"/>
      <c r="C69" s="35" t="s">
        <v>109</v>
      </c>
      <c r="D69" s="40"/>
      <c r="E69" s="40"/>
      <c r="F69" s="37">
        <v>0.0</v>
      </c>
      <c r="G69" s="38">
        <f t="shared" ref="G69:G71" si="3">D69*F69</f>
        <v>0</v>
      </c>
      <c r="H69" s="53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5.75" customHeight="1">
      <c r="A70" s="33">
        <v>57.0</v>
      </c>
      <c r="B70" s="47"/>
      <c r="C70" s="35" t="s">
        <v>110</v>
      </c>
      <c r="D70" s="40"/>
      <c r="E70" s="40"/>
      <c r="F70" s="37">
        <v>0.0</v>
      </c>
      <c r="G70" s="38">
        <f t="shared" si="3"/>
        <v>0</v>
      </c>
      <c r="H70" s="53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5.75" customHeight="1">
      <c r="A71" s="33">
        <v>58.0</v>
      </c>
      <c r="B71" s="47"/>
      <c r="C71" s="35" t="s">
        <v>111</v>
      </c>
      <c r="D71" s="40"/>
      <c r="E71" s="40"/>
      <c r="F71" s="37">
        <v>0.0</v>
      </c>
      <c r="G71" s="38">
        <f t="shared" si="3"/>
        <v>0</v>
      </c>
      <c r="H71" s="53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5.75" customHeight="1">
      <c r="A72" s="54"/>
      <c r="B72" s="55"/>
      <c r="C72" s="56" t="s">
        <v>112</v>
      </c>
      <c r="D72" s="57"/>
      <c r="E72" s="58"/>
      <c r="F72" s="59"/>
      <c r="G72" s="60">
        <f>SUBTOTAL(9,G69:G71)</f>
        <v>0</v>
      </c>
      <c r="H72" s="61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</row>
    <row r="73" ht="15.75" customHeight="1">
      <c r="A73" s="63"/>
      <c r="B73" s="64"/>
      <c r="C73" s="65" t="s">
        <v>113</v>
      </c>
      <c r="D73" s="66"/>
      <c r="E73" s="67"/>
      <c r="F73" s="68"/>
      <c r="G73" s="69">
        <f>SUBTOTAL(9,G12:G72)</f>
        <v>0</v>
      </c>
      <c r="H73" s="70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</row>
    <row r="74" ht="15.75" customHeight="1"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</row>
    <row r="75" ht="9.75" customHeight="1"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5.75" customHeight="1">
      <c r="A76" s="72" t="s">
        <v>114</v>
      </c>
      <c r="B76" s="73"/>
      <c r="C76" s="74"/>
      <c r="D76" s="75"/>
      <c r="E76" s="76"/>
      <c r="F76" s="76"/>
      <c r="G76" s="77"/>
      <c r="H76" s="78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5.75" customHeight="1">
      <c r="A77" s="33">
        <v>1.0</v>
      </c>
      <c r="B77" s="47"/>
      <c r="C77" s="79" t="s">
        <v>115</v>
      </c>
      <c r="D77" s="80"/>
      <c r="E77" s="81"/>
      <c r="F77" s="25"/>
      <c r="G77" s="82"/>
      <c r="H77" s="53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5.75" customHeight="1">
      <c r="A78" s="33">
        <f t="shared" ref="A78:A80" si="4">A77+1</f>
        <v>2</v>
      </c>
      <c r="B78" s="47"/>
      <c r="C78" s="79" t="s">
        <v>116</v>
      </c>
      <c r="D78" s="80"/>
      <c r="E78" s="81"/>
      <c r="F78" s="25"/>
      <c r="G78" s="82"/>
      <c r="H78" s="53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5.75" customHeight="1">
      <c r="A79" s="33">
        <f t="shared" si="4"/>
        <v>3</v>
      </c>
      <c r="B79" s="47"/>
      <c r="C79" s="79" t="s">
        <v>117</v>
      </c>
      <c r="D79" s="83"/>
      <c r="E79" s="81"/>
      <c r="F79" s="25"/>
      <c r="G79" s="82"/>
      <c r="H79" s="53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5.75" customHeight="1">
      <c r="A80" s="33">
        <f t="shared" si="4"/>
        <v>4</v>
      </c>
      <c r="B80" s="47"/>
      <c r="C80" s="79" t="s">
        <v>118</v>
      </c>
      <c r="D80" s="83"/>
      <c r="E80" s="81"/>
      <c r="F80" s="25"/>
      <c r="G80" s="82"/>
      <c r="H80" s="53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5.75" customHeight="1">
      <c r="A81" s="84"/>
      <c r="B81" s="85"/>
      <c r="C81" s="86"/>
      <c r="D81" s="87"/>
      <c r="E81" s="88"/>
      <c r="F81" s="89"/>
      <c r="G81" s="90"/>
      <c r="H81" s="91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5.75" customHeight="1"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92" t="s">
        <v>119</v>
      </c>
      <c r="B83" s="93"/>
      <c r="C83" s="74"/>
      <c r="D83" s="75"/>
      <c r="E83" s="76"/>
      <c r="F83" s="76"/>
      <c r="G83" s="77"/>
      <c r="H83" s="78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33">
        <v>1.0</v>
      </c>
      <c r="B84" s="47"/>
      <c r="C84" s="79" t="s">
        <v>120</v>
      </c>
      <c r="D84" s="94"/>
      <c r="E84" s="40"/>
      <c r="F84" s="37"/>
      <c r="G84" s="38"/>
      <c r="H84" s="5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33">
        <f t="shared" ref="A85:A88" si="5">A84+1</f>
        <v>2</v>
      </c>
      <c r="B85" s="47"/>
      <c r="C85" s="79" t="s">
        <v>121</v>
      </c>
      <c r="D85" s="94"/>
      <c r="E85" s="95">
        <f>D85-D84</f>
        <v>0</v>
      </c>
      <c r="F85" s="37" t="s">
        <v>122</v>
      </c>
      <c r="G85" s="38"/>
      <c r="H85" s="5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33">
        <f t="shared" si="5"/>
        <v>3</v>
      </c>
      <c r="B86" s="47"/>
      <c r="C86" s="79" t="s">
        <v>123</v>
      </c>
      <c r="D86" s="96"/>
      <c r="E86" s="97"/>
      <c r="F86" s="98"/>
      <c r="G86" s="38"/>
      <c r="H86" s="5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33">
        <f t="shared" si="5"/>
        <v>4</v>
      </c>
      <c r="B87" s="47"/>
      <c r="C87" s="79" t="s">
        <v>124</v>
      </c>
      <c r="D87" s="83"/>
      <c r="E87" s="97"/>
      <c r="F87" s="98"/>
      <c r="G87" s="38"/>
      <c r="H87" s="5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84">
        <f t="shared" si="5"/>
        <v>5</v>
      </c>
      <c r="B88" s="85"/>
      <c r="C88" s="86"/>
      <c r="D88" s="99"/>
      <c r="E88" s="100"/>
      <c r="F88" s="101"/>
      <c r="G88" s="102"/>
      <c r="H88" s="9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0" customHeight="1">
      <c r="A89" s="2"/>
      <c r="B89" s="2"/>
      <c r="C89" s="2"/>
      <c r="D89" s="2"/>
      <c r="E89" s="3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92" t="s">
        <v>125</v>
      </c>
      <c r="B90" s="93"/>
      <c r="C90" s="74"/>
      <c r="D90" s="103" t="s">
        <v>126</v>
      </c>
      <c r="E90" s="103" t="s">
        <v>127</v>
      </c>
      <c r="F90" s="76"/>
      <c r="G90" s="77"/>
      <c r="H90" s="7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33">
        <v>1.0</v>
      </c>
      <c r="B91" s="47"/>
      <c r="C91" s="79" t="s">
        <v>128</v>
      </c>
      <c r="D91" s="37">
        <v>0.0</v>
      </c>
      <c r="E91" s="37">
        <v>0.0</v>
      </c>
      <c r="F91" s="104"/>
      <c r="G91" s="38"/>
      <c r="H91" s="5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33">
        <f t="shared" ref="A92:A93" si="6">A91+1</f>
        <v>2</v>
      </c>
      <c r="B92" s="47"/>
      <c r="C92" s="79" t="s">
        <v>129</v>
      </c>
      <c r="D92" s="37">
        <v>0.0</v>
      </c>
      <c r="E92" s="37">
        <v>0.0</v>
      </c>
      <c r="F92" s="104"/>
      <c r="G92" s="38"/>
      <c r="H92" s="5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84">
        <f t="shared" si="6"/>
        <v>3</v>
      </c>
      <c r="B93" s="85"/>
      <c r="C93" s="86" t="s">
        <v>130</v>
      </c>
      <c r="D93" s="105">
        <v>0.0</v>
      </c>
      <c r="E93" s="105">
        <v>0.0</v>
      </c>
      <c r="F93" s="106"/>
      <c r="G93" s="102"/>
      <c r="H93" s="9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36.75" hidden="1" customHeight="1">
      <c r="A94" s="107"/>
      <c r="B94" s="2"/>
      <c r="C94" s="108" t="s">
        <v>131</v>
      </c>
      <c r="D94" s="109"/>
      <c r="E94" s="110"/>
      <c r="F94" s="110"/>
      <c r="G94" s="111" t="str">
        <f>SUM(#REF!+#REF!)</f>
        <v>#REF!</v>
      </c>
      <c r="H94" s="110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</row>
    <row r="95" ht="50.25" hidden="1" customHeight="1">
      <c r="A95" s="107"/>
      <c r="B95" s="2"/>
      <c r="C95" s="108" t="s">
        <v>132</v>
      </c>
      <c r="D95" s="109"/>
      <c r="E95" s="113"/>
      <c r="F95" s="110"/>
      <c r="G95" s="111"/>
      <c r="H95" s="114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</row>
    <row r="96" ht="36.75" hidden="1" customHeight="1">
      <c r="A96" s="107"/>
      <c r="B96" s="2"/>
      <c r="C96" s="108" t="s">
        <v>133</v>
      </c>
      <c r="D96" s="109"/>
      <c r="E96" s="110"/>
      <c r="F96" s="110"/>
      <c r="G96" s="111">
        <f>G95*E80</f>
        <v>0</v>
      </c>
      <c r="H96" s="110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</row>
    <row r="97" ht="36.75" hidden="1" customHeight="1">
      <c r="A97" s="107"/>
      <c r="B97" s="2"/>
      <c r="C97" s="108" t="s">
        <v>134</v>
      </c>
      <c r="D97" s="109"/>
      <c r="E97" s="110"/>
      <c r="F97" s="110"/>
      <c r="G97" s="111">
        <f>SUM(G95:G96)*E79</f>
        <v>0</v>
      </c>
      <c r="H97" s="114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</row>
    <row r="98" ht="36.75" hidden="1" customHeight="1">
      <c r="A98" s="107"/>
      <c r="B98" s="2"/>
      <c r="C98" s="108" t="s">
        <v>135</v>
      </c>
      <c r="D98" s="109"/>
      <c r="E98" s="110"/>
      <c r="F98" s="110"/>
      <c r="G98" s="111">
        <f>SUM(G95:G97)</f>
        <v>0</v>
      </c>
      <c r="H98" s="110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</row>
    <row r="99" ht="59.25" hidden="1" customHeight="1">
      <c r="A99" s="107"/>
      <c r="B99" s="2"/>
      <c r="C99" s="115" t="s">
        <v>136</v>
      </c>
      <c r="D99" s="109"/>
      <c r="E99" s="110"/>
      <c r="F99" s="110"/>
      <c r="G99" s="116" t="str">
        <f>G94+G98</f>
        <v>#REF!</v>
      </c>
      <c r="H99" s="110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</row>
    <row r="100" ht="59.25" hidden="1" customHeight="1">
      <c r="A100" s="107"/>
      <c r="B100" s="2"/>
      <c r="C100" s="115" t="s">
        <v>137</v>
      </c>
      <c r="D100" s="109"/>
      <c r="E100" s="110"/>
      <c r="F100" s="110"/>
      <c r="G100" s="116" t="str">
        <f>G99-#REF!</f>
        <v>#REF!</v>
      </c>
      <c r="H100" s="110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</row>
    <row r="101" ht="39.0" hidden="1" customHeight="1">
      <c r="A101" s="107"/>
      <c r="B101" s="2"/>
      <c r="C101" s="108" t="s">
        <v>138</v>
      </c>
      <c r="D101" s="109"/>
      <c r="E101" s="110"/>
      <c r="F101" s="110"/>
      <c r="G101" s="111" t="str">
        <f>#REF!</f>
        <v>#REF!</v>
      </c>
      <c r="H101" s="110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</row>
    <row r="102" ht="36.75" hidden="1" customHeight="1">
      <c r="A102" s="107"/>
      <c r="B102" s="2"/>
      <c r="C102" s="108" t="s">
        <v>139</v>
      </c>
      <c r="D102" s="109"/>
      <c r="E102" s="110"/>
      <c r="F102" s="110"/>
      <c r="G102" s="111">
        <f>G92*F86</f>
        <v>0</v>
      </c>
      <c r="H102" s="110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</row>
    <row r="103" ht="36.75" hidden="1" customHeight="1">
      <c r="A103" s="107"/>
      <c r="B103" s="2"/>
      <c r="C103" s="108" t="s">
        <v>140</v>
      </c>
      <c r="D103" s="109"/>
      <c r="E103" s="110"/>
      <c r="F103" s="110"/>
      <c r="G103" s="111">
        <v>0.0</v>
      </c>
      <c r="H103" s="110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</row>
    <row r="104" ht="36.75" hidden="1" customHeight="1">
      <c r="A104" s="107"/>
      <c r="B104" s="2"/>
      <c r="C104" s="108" t="s">
        <v>141</v>
      </c>
      <c r="D104" s="109"/>
      <c r="E104" s="110"/>
      <c r="F104" s="110"/>
      <c r="G104" s="111" t="str">
        <f>SUM(G101:G103)</f>
        <v>#REF!</v>
      </c>
      <c r="H104" s="110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</row>
    <row r="105" ht="53.25" hidden="1" customHeight="1">
      <c r="A105" s="107"/>
      <c r="B105" s="2"/>
      <c r="C105" s="117" t="s">
        <v>142</v>
      </c>
      <c r="D105" s="118"/>
      <c r="E105" s="119"/>
      <c r="F105" s="119"/>
      <c r="G105" s="120" t="str">
        <f>G99+G104</f>
        <v>#REF!</v>
      </c>
      <c r="H105" s="121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</row>
    <row r="106" ht="29.25" hidden="1" customHeight="1">
      <c r="A106" s="107"/>
      <c r="B106" s="2"/>
      <c r="C106" s="122" t="s">
        <v>143</v>
      </c>
      <c r="D106" s="123"/>
      <c r="E106" s="124"/>
      <c r="F106" s="124"/>
      <c r="G106" s="125" t="str">
        <f>G105-#REF!</f>
        <v>#REF!</v>
      </c>
      <c r="H106" s="126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</row>
    <row r="107" ht="15.75" hidden="1" customHeight="1">
      <c r="A107" s="107"/>
      <c r="B107" s="2"/>
      <c r="C107" s="127"/>
      <c r="D107" s="128"/>
      <c r="E107" s="129"/>
      <c r="F107" s="129"/>
      <c r="G107" s="130"/>
      <c r="H107" s="131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</row>
    <row r="108" ht="15.75" customHeight="1">
      <c r="A108" s="107"/>
      <c r="B108" s="2"/>
      <c r="C108" s="2"/>
      <c r="D108" s="2"/>
      <c r="E108" s="3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92" t="s">
        <v>144</v>
      </c>
      <c r="B109" s="93"/>
      <c r="C109" s="74"/>
      <c r="D109" s="103" t="s">
        <v>145</v>
      </c>
      <c r="E109" s="103" t="s">
        <v>146</v>
      </c>
      <c r="F109" s="76"/>
      <c r="G109" s="77"/>
      <c r="H109" s="7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33">
        <v>1.0</v>
      </c>
      <c r="B110" s="47"/>
      <c r="C110" s="79" t="s">
        <v>147</v>
      </c>
      <c r="D110" s="40"/>
      <c r="E110" s="40"/>
      <c r="F110" s="104"/>
      <c r="G110" s="38"/>
      <c r="H110" s="5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33">
        <f t="shared" ref="A111:A112" si="7">A110+1</f>
        <v>2</v>
      </c>
      <c r="B111" s="47"/>
      <c r="C111" s="79" t="s">
        <v>147</v>
      </c>
      <c r="D111" s="40"/>
      <c r="E111" s="40"/>
      <c r="F111" s="104"/>
      <c r="G111" s="38"/>
      <c r="H111" s="5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84">
        <f t="shared" si="7"/>
        <v>3</v>
      </c>
      <c r="B112" s="85"/>
      <c r="C112" s="86" t="s">
        <v>147</v>
      </c>
      <c r="D112" s="132"/>
      <c r="E112" s="132"/>
      <c r="F112" s="106"/>
      <c r="G112" s="102"/>
      <c r="H112" s="9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"/>
      <c r="B113" s="2"/>
      <c r="C113" s="2"/>
      <c r="D113" s="2"/>
      <c r="E113" s="3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92" t="s">
        <v>148</v>
      </c>
      <c r="B114" s="93"/>
      <c r="C114" s="74"/>
      <c r="D114" s="103" t="s">
        <v>149</v>
      </c>
      <c r="E114" s="133"/>
      <c r="F114" s="76"/>
      <c r="G114" s="77"/>
      <c r="H114" s="7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33">
        <v>1.0</v>
      </c>
      <c r="B115" s="47"/>
      <c r="C115" s="79" t="s">
        <v>150</v>
      </c>
      <c r="D115" s="40"/>
      <c r="E115" s="40"/>
      <c r="F115" s="104"/>
      <c r="G115" s="38"/>
      <c r="H115" s="5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33">
        <f t="shared" ref="A116:A117" si="8">A115+1</f>
        <v>2</v>
      </c>
      <c r="B116" s="47"/>
      <c r="C116" s="79" t="s">
        <v>151</v>
      </c>
      <c r="D116" s="40"/>
      <c r="E116" s="40"/>
      <c r="F116" s="104"/>
      <c r="G116" s="38"/>
      <c r="H116" s="5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84">
        <f t="shared" si="8"/>
        <v>3</v>
      </c>
      <c r="B117" s="85"/>
      <c r="C117" s="86"/>
      <c r="D117" s="132"/>
      <c r="E117" s="132"/>
      <c r="F117" s="106"/>
      <c r="G117" s="102"/>
      <c r="H117" s="9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"/>
      <c r="B118" s="2"/>
      <c r="C118" s="2"/>
      <c r="D118" s="2"/>
      <c r="E118" s="3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92" t="s">
        <v>152</v>
      </c>
      <c r="B119" s="93"/>
      <c r="C119" s="74"/>
      <c r="D119" s="134">
        <v>2026.0</v>
      </c>
      <c r="E119" s="134">
        <v>2025.0</v>
      </c>
      <c r="F119" s="134">
        <v>2024.0</v>
      </c>
      <c r="G119" s="134">
        <v>2023.0</v>
      </c>
      <c r="H119" s="135">
        <v>2022.0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33">
        <v>1.0</v>
      </c>
      <c r="B120" s="47"/>
      <c r="C120" s="79" t="s">
        <v>153</v>
      </c>
      <c r="D120" s="40"/>
      <c r="E120" s="40"/>
      <c r="F120" s="40"/>
      <c r="G120" s="40"/>
      <c r="H120" s="136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33">
        <f t="shared" ref="A121:A122" si="9">A120+1</f>
        <v>2</v>
      </c>
      <c r="B121" s="47"/>
      <c r="C121" s="79" t="s">
        <v>154</v>
      </c>
      <c r="D121" s="40"/>
      <c r="E121" s="40"/>
      <c r="F121" s="40"/>
      <c r="G121" s="40"/>
      <c r="H121" s="136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84">
        <f t="shared" si="9"/>
        <v>3</v>
      </c>
      <c r="B122" s="85"/>
      <c r="C122" s="86" t="s">
        <v>155</v>
      </c>
      <c r="D122" s="132"/>
      <c r="E122" s="132"/>
      <c r="F122" s="132"/>
      <c r="G122" s="132"/>
      <c r="H122" s="13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"/>
      <c r="B123" s="2"/>
      <c r="C123" s="2"/>
      <c r="D123" s="2"/>
      <c r="E123" s="3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7" t="s">
        <v>156</v>
      </c>
      <c r="B124" s="7"/>
      <c r="C124" s="2"/>
      <c r="D124" s="2"/>
      <c r="E124" s="3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"/>
      <c r="B125" s="2"/>
      <c r="C125" s="2"/>
      <c r="D125" s="2"/>
      <c r="E125" s="3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"/>
      <c r="B126" s="2"/>
      <c r="C126" s="2"/>
      <c r="D126" s="2"/>
      <c r="E126" s="3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"/>
      <c r="B127" s="2"/>
      <c r="C127" s="2"/>
      <c r="D127" s="2"/>
      <c r="E127" s="3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"/>
      <c r="B128" s="2"/>
      <c r="C128" s="2"/>
      <c r="D128" s="2"/>
      <c r="E128" s="3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"/>
      <c r="B129" s="2"/>
      <c r="C129" s="2"/>
      <c r="D129" s="2"/>
      <c r="E129" s="3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"/>
      <c r="B130" s="2"/>
      <c r="C130" s="2"/>
      <c r="D130" s="2"/>
      <c r="E130" s="3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"/>
      <c r="B131" s="2"/>
      <c r="C131" s="2"/>
      <c r="D131" s="2"/>
      <c r="E131" s="3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"/>
      <c r="B132" s="2"/>
      <c r="C132" s="2"/>
      <c r="D132" s="2"/>
      <c r="E132" s="3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"/>
      <c r="B133" s="2"/>
      <c r="C133" s="2"/>
      <c r="D133" s="2"/>
      <c r="E133" s="3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"/>
      <c r="B134" s="2"/>
      <c r="C134" s="2"/>
      <c r="D134" s="2"/>
      <c r="E134" s="3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"/>
      <c r="B135" s="2"/>
      <c r="C135" s="2"/>
      <c r="D135" s="2"/>
      <c r="E135" s="3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"/>
      <c r="B136" s="2"/>
      <c r="C136" s="2"/>
      <c r="D136" s="2"/>
      <c r="E136" s="3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"/>
      <c r="B137" s="2"/>
      <c r="C137" s="2"/>
      <c r="D137" s="2"/>
      <c r="E137" s="3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"/>
      <c r="B138" s="2"/>
      <c r="C138" s="2"/>
      <c r="D138" s="2"/>
      <c r="E138" s="3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"/>
      <c r="B139" s="2"/>
      <c r="C139" s="2"/>
      <c r="D139" s="2"/>
      <c r="E139" s="3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"/>
      <c r="B140" s="2"/>
      <c r="C140" s="2"/>
      <c r="D140" s="2"/>
      <c r="E140" s="3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"/>
      <c r="B141" s="2"/>
      <c r="C141" s="2"/>
      <c r="D141" s="2"/>
      <c r="E141" s="3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"/>
      <c r="B142" s="2"/>
      <c r="C142" s="2"/>
      <c r="D142" s="2"/>
      <c r="E142" s="3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"/>
      <c r="B143" s="2"/>
      <c r="C143" s="2"/>
      <c r="D143" s="2"/>
      <c r="E143" s="3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"/>
      <c r="B144" s="2"/>
      <c r="C144" s="2"/>
      <c r="D144" s="2"/>
      <c r="E144" s="3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"/>
      <c r="B145" s="2"/>
      <c r="C145" s="2"/>
      <c r="D145" s="2"/>
      <c r="E145" s="3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"/>
      <c r="B146" s="2"/>
      <c r="C146" s="2"/>
      <c r="D146" s="2"/>
      <c r="E146" s="3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"/>
      <c r="B147" s="2"/>
      <c r="C147" s="2"/>
      <c r="D147" s="2"/>
      <c r="E147" s="3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"/>
      <c r="B148" s="2"/>
      <c r="C148" s="2"/>
      <c r="D148" s="2"/>
      <c r="E148" s="3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"/>
      <c r="B149" s="2"/>
      <c r="C149" s="2"/>
      <c r="D149" s="2"/>
      <c r="E149" s="3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"/>
      <c r="B150" s="2"/>
      <c r="C150" s="2"/>
      <c r="D150" s="2"/>
      <c r="E150" s="3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"/>
      <c r="B151" s="2"/>
      <c r="C151" s="2"/>
      <c r="D151" s="2"/>
      <c r="E151" s="3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"/>
      <c r="B152" s="2"/>
      <c r="C152" s="2"/>
      <c r="D152" s="2"/>
      <c r="E152" s="3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"/>
      <c r="B153" s="2"/>
      <c r="C153" s="2"/>
      <c r="D153" s="2"/>
      <c r="E153" s="3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"/>
      <c r="B154" s="2"/>
      <c r="C154" s="2"/>
      <c r="D154" s="2"/>
      <c r="E154" s="3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"/>
      <c r="B155" s="2"/>
      <c r="C155" s="2"/>
      <c r="D155" s="2"/>
      <c r="E155" s="3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"/>
      <c r="B156" s="2"/>
      <c r="C156" s="2"/>
      <c r="D156" s="2"/>
      <c r="E156" s="3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"/>
      <c r="B157" s="2"/>
      <c r="C157" s="2"/>
      <c r="D157" s="2"/>
      <c r="E157" s="3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"/>
      <c r="B158" s="2"/>
      <c r="C158" s="2"/>
      <c r="D158" s="2"/>
      <c r="E158" s="3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"/>
      <c r="B159" s="2"/>
      <c r="C159" s="2"/>
      <c r="D159" s="2"/>
      <c r="E159" s="3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"/>
      <c r="B160" s="2"/>
      <c r="C160" s="2"/>
      <c r="D160" s="2"/>
      <c r="E160" s="3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"/>
      <c r="B161" s="2"/>
      <c r="C161" s="2"/>
      <c r="D161" s="2"/>
      <c r="E161" s="3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"/>
      <c r="B162" s="2"/>
      <c r="C162" s="2"/>
      <c r="D162" s="2"/>
      <c r="E162" s="3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"/>
      <c r="B163" s="2"/>
      <c r="C163" s="2"/>
      <c r="D163" s="2"/>
      <c r="E163" s="3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"/>
      <c r="B164" s="2"/>
      <c r="C164" s="2"/>
      <c r="D164" s="2"/>
      <c r="E164" s="3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"/>
      <c r="B165" s="2"/>
      <c r="C165" s="2"/>
      <c r="D165" s="2"/>
      <c r="E165" s="3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"/>
      <c r="B166" s="2"/>
      <c r="C166" s="2"/>
      <c r="D166" s="2"/>
      <c r="E166" s="3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"/>
      <c r="B167" s="2"/>
      <c r="C167" s="2"/>
      <c r="D167" s="2"/>
      <c r="E167" s="3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"/>
      <c r="B168" s="2"/>
      <c r="C168" s="2"/>
      <c r="D168" s="2"/>
      <c r="E168" s="3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"/>
      <c r="B169" s="2"/>
      <c r="C169" s="2"/>
      <c r="D169" s="2"/>
      <c r="E169" s="3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"/>
      <c r="B170" s="2"/>
      <c r="C170" s="2"/>
      <c r="D170" s="2"/>
      <c r="E170" s="3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"/>
      <c r="B171" s="2"/>
      <c r="C171" s="2"/>
      <c r="D171" s="2"/>
      <c r="E171" s="3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"/>
      <c r="B172" s="2"/>
      <c r="C172" s="2"/>
      <c r="D172" s="2"/>
      <c r="E172" s="3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"/>
      <c r="B173" s="2"/>
      <c r="C173" s="2"/>
      <c r="D173" s="2"/>
      <c r="E173" s="3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"/>
      <c r="B174" s="2"/>
      <c r="C174" s="2"/>
      <c r="D174" s="2"/>
      <c r="E174" s="3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"/>
      <c r="B175" s="2"/>
      <c r="C175" s="2"/>
      <c r="D175" s="2"/>
      <c r="E175" s="3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"/>
      <c r="B176" s="2"/>
      <c r="C176" s="2"/>
      <c r="D176" s="2"/>
      <c r="E176" s="3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"/>
      <c r="B177" s="2"/>
      <c r="C177" s="2"/>
      <c r="D177" s="2"/>
      <c r="E177" s="3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2"/>
      <c r="B178" s="2"/>
      <c r="C178" s="2"/>
      <c r="D178" s="2"/>
      <c r="E178" s="3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2"/>
      <c r="B179" s="2"/>
      <c r="C179" s="2"/>
      <c r="D179" s="2"/>
      <c r="E179" s="3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2"/>
      <c r="B180" s="2"/>
      <c r="C180" s="2"/>
      <c r="D180" s="2"/>
      <c r="E180" s="3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2"/>
      <c r="B181" s="2"/>
      <c r="C181" s="2"/>
      <c r="D181" s="2"/>
      <c r="E181" s="3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2"/>
      <c r="B182" s="2"/>
      <c r="C182" s="2"/>
      <c r="D182" s="2"/>
      <c r="E182" s="3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2"/>
      <c r="B183" s="2"/>
      <c r="C183" s="2"/>
      <c r="D183" s="2"/>
      <c r="E183" s="3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2"/>
      <c r="B184" s="2"/>
      <c r="C184" s="2"/>
      <c r="D184" s="2"/>
      <c r="E184" s="3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2"/>
      <c r="B185" s="2"/>
      <c r="C185" s="2"/>
      <c r="D185" s="2"/>
      <c r="E185" s="3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2"/>
      <c r="B186" s="2"/>
      <c r="C186" s="2"/>
      <c r="D186" s="2"/>
      <c r="E186" s="3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2"/>
      <c r="B187" s="2"/>
      <c r="C187" s="2"/>
      <c r="D187" s="2"/>
      <c r="E187" s="3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2"/>
      <c r="B188" s="2"/>
      <c r="C188" s="2"/>
      <c r="D188" s="2"/>
      <c r="E188" s="3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2"/>
      <c r="B189" s="2"/>
      <c r="C189" s="2"/>
      <c r="D189" s="2"/>
      <c r="E189" s="3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2"/>
      <c r="B190" s="2"/>
      <c r="C190" s="2"/>
      <c r="D190" s="2"/>
      <c r="E190" s="3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2"/>
      <c r="B191" s="2"/>
      <c r="C191" s="2"/>
      <c r="D191" s="2"/>
      <c r="E191" s="3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2"/>
      <c r="B192" s="2"/>
      <c r="C192" s="2"/>
      <c r="D192" s="2"/>
      <c r="E192" s="3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2"/>
      <c r="B193" s="2"/>
      <c r="C193" s="2"/>
      <c r="D193" s="2"/>
      <c r="E193" s="3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2"/>
      <c r="B194" s="2"/>
      <c r="C194" s="2"/>
      <c r="D194" s="2"/>
      <c r="E194" s="3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2"/>
      <c r="B195" s="2"/>
      <c r="C195" s="2"/>
      <c r="D195" s="2"/>
      <c r="E195" s="3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2"/>
      <c r="B196" s="2"/>
      <c r="C196" s="2"/>
      <c r="D196" s="2"/>
      <c r="E196" s="3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2"/>
      <c r="B197" s="2"/>
      <c r="C197" s="2"/>
      <c r="D197" s="2"/>
      <c r="E197" s="3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2"/>
      <c r="B198" s="2"/>
      <c r="C198" s="2"/>
      <c r="D198" s="2"/>
      <c r="E198" s="3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2"/>
      <c r="B199" s="2"/>
      <c r="C199" s="2"/>
      <c r="D199" s="2"/>
      <c r="E199" s="3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2"/>
      <c r="B200" s="2"/>
      <c r="C200" s="2"/>
      <c r="D200" s="2"/>
      <c r="E200" s="3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2"/>
      <c r="B201" s="2"/>
      <c r="C201" s="2"/>
      <c r="D201" s="2"/>
      <c r="E201" s="3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2"/>
      <c r="B202" s="2"/>
      <c r="C202" s="2"/>
      <c r="D202" s="2"/>
      <c r="E202" s="3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2"/>
      <c r="B203" s="2"/>
      <c r="C203" s="2"/>
      <c r="D203" s="2"/>
      <c r="E203" s="3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2"/>
      <c r="B204" s="2"/>
      <c r="C204" s="2"/>
      <c r="D204" s="2"/>
      <c r="E204" s="3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2"/>
      <c r="B205" s="2"/>
      <c r="C205" s="2"/>
      <c r="D205" s="2"/>
      <c r="E205" s="3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2"/>
      <c r="B206" s="2"/>
      <c r="C206" s="2"/>
      <c r="D206" s="2"/>
      <c r="E206" s="3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2"/>
      <c r="B207" s="2"/>
      <c r="C207" s="2"/>
      <c r="D207" s="2"/>
      <c r="E207" s="3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2"/>
      <c r="B208" s="2"/>
      <c r="C208" s="2"/>
      <c r="D208" s="2"/>
      <c r="E208" s="3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2"/>
      <c r="B209" s="2"/>
      <c r="C209" s="2"/>
      <c r="D209" s="2"/>
      <c r="E209" s="3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2"/>
      <c r="B210" s="2"/>
      <c r="C210" s="2"/>
      <c r="D210" s="2"/>
      <c r="E210" s="3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2"/>
      <c r="B211" s="2"/>
      <c r="C211" s="2"/>
      <c r="D211" s="2"/>
      <c r="E211" s="3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2"/>
      <c r="B212" s="2"/>
      <c r="C212" s="2"/>
      <c r="D212" s="2"/>
      <c r="E212" s="3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2"/>
      <c r="B213" s="2"/>
      <c r="C213" s="2"/>
      <c r="D213" s="2"/>
      <c r="E213" s="3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2"/>
      <c r="B214" s="2"/>
      <c r="C214" s="2"/>
      <c r="D214" s="2"/>
      <c r="E214" s="3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2"/>
      <c r="B215" s="2"/>
      <c r="C215" s="2"/>
      <c r="D215" s="2"/>
      <c r="E215" s="3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2"/>
      <c r="B216" s="2"/>
      <c r="C216" s="2"/>
      <c r="D216" s="2"/>
      <c r="E216" s="3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2"/>
      <c r="B217" s="2"/>
      <c r="C217" s="2"/>
      <c r="D217" s="2"/>
      <c r="E217" s="3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2"/>
      <c r="B218" s="2"/>
      <c r="C218" s="2"/>
      <c r="D218" s="2"/>
      <c r="E218" s="3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2"/>
      <c r="B219" s="2"/>
      <c r="C219" s="2"/>
      <c r="D219" s="2"/>
      <c r="E219" s="3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2"/>
      <c r="B220" s="2"/>
      <c r="C220" s="2"/>
      <c r="D220" s="2"/>
      <c r="E220" s="3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2"/>
      <c r="B221" s="2"/>
      <c r="C221" s="2"/>
      <c r="D221" s="2"/>
      <c r="E221" s="3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2"/>
      <c r="B222" s="2"/>
      <c r="C222" s="2"/>
      <c r="D222" s="2"/>
      <c r="E222" s="3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2"/>
      <c r="B223" s="2"/>
      <c r="C223" s="2"/>
      <c r="D223" s="2"/>
      <c r="E223" s="3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2"/>
      <c r="B224" s="2"/>
      <c r="C224" s="2"/>
      <c r="D224" s="2"/>
      <c r="E224" s="3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2"/>
      <c r="B225" s="2"/>
      <c r="C225" s="2"/>
      <c r="D225" s="2"/>
      <c r="E225" s="3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2"/>
      <c r="B226" s="2"/>
      <c r="C226" s="2"/>
      <c r="D226" s="2"/>
      <c r="E226" s="3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2"/>
      <c r="B227" s="2"/>
      <c r="C227" s="2"/>
      <c r="D227" s="2"/>
      <c r="E227" s="3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2"/>
      <c r="B228" s="2"/>
      <c r="C228" s="2"/>
      <c r="D228" s="2"/>
      <c r="E228" s="3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2"/>
      <c r="B229" s="2"/>
      <c r="C229" s="2"/>
      <c r="D229" s="2"/>
      <c r="E229" s="3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2"/>
      <c r="B230" s="2"/>
      <c r="C230" s="2"/>
      <c r="D230" s="2"/>
      <c r="E230" s="3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2"/>
      <c r="B231" s="2"/>
      <c r="C231" s="2"/>
      <c r="D231" s="2"/>
      <c r="E231" s="3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2"/>
      <c r="B232" s="2"/>
      <c r="C232" s="2"/>
      <c r="D232" s="2"/>
      <c r="E232" s="3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2"/>
      <c r="B233" s="2"/>
      <c r="C233" s="2"/>
      <c r="D233" s="2"/>
      <c r="E233" s="3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2"/>
      <c r="B234" s="2"/>
      <c r="C234" s="2"/>
      <c r="D234" s="2"/>
      <c r="E234" s="3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2"/>
      <c r="B235" s="2"/>
      <c r="C235" s="2"/>
      <c r="D235" s="2"/>
      <c r="E235" s="3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2"/>
      <c r="B236" s="2"/>
      <c r="C236" s="2"/>
      <c r="D236" s="2"/>
      <c r="E236" s="3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2"/>
      <c r="B237" s="2"/>
      <c r="C237" s="2"/>
      <c r="D237" s="2"/>
      <c r="E237" s="3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2"/>
      <c r="B238" s="2"/>
      <c r="C238" s="2"/>
      <c r="D238" s="2"/>
      <c r="E238" s="3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2"/>
      <c r="B239" s="2"/>
      <c r="C239" s="2"/>
      <c r="D239" s="2"/>
      <c r="E239" s="3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2"/>
      <c r="B240" s="2"/>
      <c r="C240" s="2"/>
      <c r="D240" s="2"/>
      <c r="E240" s="3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2"/>
      <c r="B241" s="2"/>
      <c r="C241" s="2"/>
      <c r="D241" s="2"/>
      <c r="E241" s="3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2"/>
      <c r="B242" s="2"/>
      <c r="C242" s="2"/>
      <c r="D242" s="2"/>
      <c r="E242" s="3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2"/>
      <c r="B243" s="2"/>
      <c r="C243" s="2"/>
      <c r="D243" s="2"/>
      <c r="E243" s="3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2"/>
      <c r="B244" s="2"/>
      <c r="C244" s="2"/>
      <c r="D244" s="2"/>
      <c r="E244" s="3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2"/>
      <c r="B245" s="2"/>
      <c r="C245" s="2"/>
      <c r="D245" s="2"/>
      <c r="E245" s="3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2"/>
      <c r="B246" s="2"/>
      <c r="C246" s="2"/>
      <c r="D246" s="2"/>
      <c r="E246" s="3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2"/>
      <c r="B247" s="2"/>
      <c r="C247" s="2"/>
      <c r="D247" s="2"/>
      <c r="E247" s="3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2"/>
      <c r="B248" s="2"/>
      <c r="C248" s="2"/>
      <c r="D248" s="2"/>
      <c r="E248" s="3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2"/>
      <c r="B249" s="2"/>
      <c r="C249" s="2"/>
      <c r="D249" s="2"/>
      <c r="E249" s="3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2"/>
      <c r="B250" s="2"/>
      <c r="C250" s="2"/>
      <c r="D250" s="2"/>
      <c r="E250" s="3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2"/>
      <c r="B251" s="2"/>
      <c r="C251" s="2"/>
      <c r="D251" s="2"/>
      <c r="E251" s="3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2"/>
      <c r="B252" s="2"/>
      <c r="C252" s="2"/>
      <c r="D252" s="2"/>
      <c r="E252" s="3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2"/>
      <c r="B253" s="2"/>
      <c r="C253" s="2"/>
      <c r="D253" s="2"/>
      <c r="E253" s="3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2"/>
      <c r="B254" s="2"/>
      <c r="C254" s="2"/>
      <c r="D254" s="2"/>
      <c r="E254" s="3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2"/>
      <c r="B255" s="2"/>
      <c r="C255" s="2"/>
      <c r="D255" s="2"/>
      <c r="E255" s="3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2"/>
      <c r="B256" s="2"/>
      <c r="C256" s="2"/>
      <c r="D256" s="2"/>
      <c r="E256" s="3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2"/>
      <c r="B257" s="2"/>
      <c r="C257" s="2"/>
      <c r="D257" s="2"/>
      <c r="E257" s="3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2"/>
      <c r="B258" s="2"/>
      <c r="C258" s="2"/>
      <c r="D258" s="2"/>
      <c r="E258" s="3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2"/>
      <c r="B259" s="2"/>
      <c r="C259" s="2"/>
      <c r="D259" s="2"/>
      <c r="E259" s="3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2"/>
      <c r="B260" s="2"/>
      <c r="C260" s="2"/>
      <c r="D260" s="2"/>
      <c r="E260" s="3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2"/>
      <c r="B261" s="2"/>
      <c r="C261" s="2"/>
      <c r="D261" s="2"/>
      <c r="E261" s="3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2"/>
      <c r="B262" s="2"/>
      <c r="C262" s="2"/>
      <c r="D262" s="2"/>
      <c r="E262" s="3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2"/>
      <c r="B263" s="2"/>
      <c r="C263" s="2"/>
      <c r="D263" s="2"/>
      <c r="E263" s="3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2"/>
      <c r="B264" s="2"/>
      <c r="C264" s="2"/>
      <c r="D264" s="2"/>
      <c r="E264" s="3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2"/>
      <c r="B265" s="2"/>
      <c r="C265" s="2"/>
      <c r="D265" s="2"/>
      <c r="E265" s="3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2"/>
      <c r="B266" s="2"/>
      <c r="C266" s="2"/>
      <c r="D266" s="2"/>
      <c r="E266" s="3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2"/>
      <c r="B267" s="2"/>
      <c r="C267" s="2"/>
      <c r="D267" s="2"/>
      <c r="E267" s="3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2"/>
      <c r="B268" s="2"/>
      <c r="C268" s="2"/>
      <c r="D268" s="2"/>
      <c r="E268" s="3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2"/>
      <c r="B269" s="2"/>
      <c r="C269" s="2"/>
      <c r="D269" s="2"/>
      <c r="E269" s="3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2"/>
      <c r="B270" s="2"/>
      <c r="C270" s="2"/>
      <c r="D270" s="2"/>
      <c r="E270" s="3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2"/>
      <c r="B271" s="2"/>
      <c r="C271" s="2"/>
      <c r="D271" s="2"/>
      <c r="E271" s="3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2"/>
      <c r="B272" s="2"/>
      <c r="C272" s="2"/>
      <c r="D272" s="2"/>
      <c r="E272" s="3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2"/>
      <c r="B273" s="2"/>
      <c r="C273" s="2"/>
      <c r="D273" s="2"/>
      <c r="E273" s="3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2"/>
      <c r="B274" s="2"/>
      <c r="C274" s="2"/>
      <c r="D274" s="2"/>
      <c r="E274" s="3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2"/>
      <c r="B275" s="2"/>
      <c r="C275" s="2"/>
      <c r="D275" s="2"/>
      <c r="E275" s="3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2"/>
      <c r="B276" s="2"/>
      <c r="C276" s="2"/>
      <c r="D276" s="2"/>
      <c r="E276" s="3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2"/>
      <c r="B277" s="2"/>
      <c r="C277" s="2"/>
      <c r="D277" s="2"/>
      <c r="E277" s="3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2"/>
      <c r="B278" s="2"/>
      <c r="C278" s="2"/>
      <c r="D278" s="2"/>
      <c r="E278" s="3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2"/>
      <c r="B279" s="2"/>
      <c r="C279" s="2"/>
      <c r="D279" s="2"/>
      <c r="E279" s="3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2"/>
      <c r="B280" s="2"/>
      <c r="C280" s="2"/>
      <c r="D280" s="2"/>
      <c r="E280" s="3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2"/>
      <c r="B281" s="2"/>
      <c r="C281" s="2"/>
      <c r="D281" s="2"/>
      <c r="E281" s="3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2"/>
      <c r="B282" s="2"/>
      <c r="C282" s="2"/>
      <c r="D282" s="2"/>
      <c r="E282" s="3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2"/>
      <c r="B283" s="2"/>
      <c r="C283" s="2"/>
      <c r="D283" s="2"/>
      <c r="E283" s="3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2"/>
      <c r="B284" s="2"/>
      <c r="C284" s="2"/>
      <c r="D284" s="2"/>
      <c r="E284" s="3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2"/>
      <c r="B285" s="2"/>
      <c r="C285" s="2"/>
      <c r="D285" s="2"/>
      <c r="E285" s="3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2"/>
      <c r="B286" s="2"/>
      <c r="C286" s="2"/>
      <c r="D286" s="2"/>
      <c r="E286" s="3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2"/>
      <c r="B287" s="2"/>
      <c r="C287" s="2"/>
      <c r="D287" s="2"/>
      <c r="E287" s="3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2"/>
      <c r="B288" s="2"/>
      <c r="C288" s="2"/>
      <c r="D288" s="2"/>
      <c r="E288" s="3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2"/>
      <c r="B289" s="2"/>
      <c r="C289" s="2"/>
      <c r="D289" s="2"/>
      <c r="E289" s="3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2"/>
      <c r="B290" s="2"/>
      <c r="C290" s="2"/>
      <c r="D290" s="2"/>
      <c r="E290" s="3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2"/>
      <c r="B291" s="2"/>
      <c r="C291" s="2"/>
      <c r="D291" s="2"/>
      <c r="E291" s="3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2"/>
      <c r="B292" s="2"/>
      <c r="C292" s="2"/>
      <c r="D292" s="2"/>
      <c r="E292" s="3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2"/>
      <c r="B293" s="2"/>
      <c r="C293" s="2"/>
      <c r="D293" s="2"/>
      <c r="E293" s="3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2"/>
      <c r="B294" s="2"/>
      <c r="C294" s="2"/>
      <c r="D294" s="2"/>
      <c r="E294" s="3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2"/>
      <c r="B295" s="2"/>
      <c r="C295" s="2"/>
      <c r="D295" s="2"/>
      <c r="E295" s="3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2"/>
      <c r="B296" s="2"/>
      <c r="C296" s="2"/>
      <c r="D296" s="2"/>
      <c r="E296" s="3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2"/>
      <c r="C297" s="2"/>
      <c r="D297" s="2"/>
      <c r="E297" s="3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2"/>
      <c r="B298" s="2"/>
      <c r="C298" s="2"/>
      <c r="D298" s="2"/>
      <c r="E298" s="3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2"/>
      <c r="B299" s="2"/>
      <c r="C299" s="2"/>
      <c r="D299" s="2"/>
      <c r="E299" s="3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2"/>
      <c r="B300" s="2"/>
      <c r="C300" s="2"/>
      <c r="D300" s="2"/>
      <c r="E300" s="3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2"/>
      <c r="B301" s="2"/>
      <c r="C301" s="2"/>
      <c r="D301" s="2"/>
      <c r="E301" s="3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2"/>
      <c r="B302" s="2"/>
      <c r="C302" s="2"/>
      <c r="D302" s="2"/>
      <c r="E302" s="3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2"/>
      <c r="B303" s="2"/>
      <c r="C303" s="2"/>
      <c r="D303" s="2"/>
      <c r="E303" s="3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2"/>
      <c r="B304" s="2"/>
      <c r="C304" s="2"/>
      <c r="D304" s="2"/>
      <c r="E304" s="3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2"/>
      <c r="B305" s="2"/>
      <c r="C305" s="2"/>
      <c r="D305" s="2"/>
      <c r="E305" s="3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2"/>
      <c r="B306" s="2"/>
      <c r="C306" s="2"/>
      <c r="D306" s="2"/>
      <c r="E306" s="3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2"/>
      <c r="B307" s="2"/>
      <c r="C307" s="2"/>
      <c r="D307" s="2"/>
      <c r="E307" s="3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2"/>
      <c r="B308" s="2"/>
      <c r="C308" s="2"/>
      <c r="D308" s="2"/>
      <c r="E308" s="3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2"/>
      <c r="B309" s="2"/>
      <c r="C309" s="2"/>
      <c r="D309" s="2"/>
      <c r="E309" s="3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2"/>
      <c r="B310" s="2"/>
      <c r="C310" s="2"/>
      <c r="D310" s="2"/>
      <c r="E310" s="3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2"/>
      <c r="B311" s="2"/>
      <c r="C311" s="2"/>
      <c r="D311" s="2"/>
      <c r="E311" s="3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2"/>
      <c r="B312" s="2"/>
      <c r="C312" s="2"/>
      <c r="D312" s="2"/>
      <c r="E312" s="3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2"/>
      <c r="B313" s="2"/>
      <c r="C313" s="2"/>
      <c r="D313" s="2"/>
      <c r="E313" s="3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2"/>
      <c r="C314" s="2"/>
      <c r="D314" s="2"/>
      <c r="E314" s="3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2"/>
      <c r="C315" s="2"/>
      <c r="D315" s="2"/>
      <c r="E315" s="3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2"/>
      <c r="C316" s="2"/>
      <c r="D316" s="2"/>
      <c r="E316" s="3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2"/>
      <c r="C317" s="2"/>
      <c r="D317" s="2"/>
      <c r="E317" s="3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2"/>
      <c r="C318" s="2"/>
      <c r="D318" s="2"/>
      <c r="E318" s="3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2"/>
      <c r="B319" s="2"/>
      <c r="C319" s="2"/>
      <c r="D319" s="2"/>
      <c r="E319" s="3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2"/>
      <c r="B320" s="2"/>
      <c r="C320" s="2"/>
      <c r="D320" s="2"/>
      <c r="E320" s="3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2"/>
      <c r="B321" s="2"/>
      <c r="C321" s="2"/>
      <c r="D321" s="2"/>
      <c r="E321" s="3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2"/>
      <c r="C322" s="2"/>
      <c r="D322" s="2"/>
      <c r="E322" s="3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2"/>
      <c r="C323" s="2"/>
      <c r="D323" s="2"/>
      <c r="E323" s="3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2"/>
      <c r="C324" s="2"/>
      <c r="D324" s="2"/>
      <c r="E324" s="3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2"/>
      <c r="B325" s="2"/>
      <c r="C325" s="2"/>
      <c r="D325" s="2"/>
      <c r="E325" s="3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2"/>
      <c r="B326" s="2"/>
      <c r="C326" s="2"/>
      <c r="D326" s="2"/>
      <c r="E326" s="3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2"/>
      <c r="B327" s="2"/>
      <c r="C327" s="2"/>
      <c r="D327" s="2"/>
      <c r="E327" s="3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2"/>
      <c r="B328" s="2"/>
      <c r="C328" s="2"/>
      <c r="D328" s="2"/>
      <c r="E328" s="3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2"/>
      <c r="B329" s="2"/>
      <c r="C329" s="2"/>
      <c r="D329" s="2"/>
      <c r="E329" s="3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2"/>
      <c r="B330" s="2"/>
      <c r="C330" s="2"/>
      <c r="D330" s="2"/>
      <c r="E330" s="3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2"/>
      <c r="B331" s="2"/>
      <c r="C331" s="2"/>
      <c r="D331" s="2"/>
      <c r="E331" s="3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2"/>
      <c r="B332" s="2"/>
      <c r="C332" s="2"/>
      <c r="D332" s="2"/>
      <c r="E332" s="3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2"/>
      <c r="B333" s="2"/>
      <c r="C333" s="2"/>
      <c r="D333" s="2"/>
      <c r="E333" s="3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2"/>
      <c r="B334" s="2"/>
      <c r="C334" s="2"/>
      <c r="D334" s="2"/>
      <c r="E334" s="3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2"/>
      <c r="B335" s="2"/>
      <c r="C335" s="2"/>
      <c r="D335" s="2"/>
      <c r="E335" s="3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2"/>
      <c r="B336" s="2"/>
      <c r="C336" s="2"/>
      <c r="D336" s="2"/>
      <c r="E336" s="3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2"/>
      <c r="B337" s="2"/>
      <c r="C337" s="2"/>
      <c r="D337" s="2"/>
      <c r="E337" s="3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2"/>
      <c r="B338" s="2"/>
      <c r="C338" s="2"/>
      <c r="D338" s="2"/>
      <c r="E338" s="3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2"/>
      <c r="B339" s="2"/>
      <c r="C339" s="2"/>
      <c r="D339" s="2"/>
      <c r="E339" s="3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2"/>
      <c r="B340" s="2"/>
      <c r="C340" s="2"/>
      <c r="D340" s="2"/>
      <c r="E340" s="3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2"/>
      <c r="B341" s="2"/>
      <c r="C341" s="2"/>
      <c r="D341" s="2"/>
      <c r="E341" s="3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2"/>
      <c r="B342" s="2"/>
      <c r="C342" s="2"/>
      <c r="D342" s="2"/>
      <c r="E342" s="3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2"/>
      <c r="B343" s="2"/>
      <c r="C343" s="2"/>
      <c r="D343" s="2"/>
      <c r="E343" s="3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2"/>
      <c r="B344" s="2"/>
      <c r="C344" s="2"/>
      <c r="D344" s="2"/>
      <c r="E344" s="3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2"/>
      <c r="B345" s="2"/>
      <c r="C345" s="2"/>
      <c r="D345" s="2"/>
      <c r="E345" s="3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2"/>
      <c r="B346" s="2"/>
      <c r="C346" s="2"/>
      <c r="D346" s="2"/>
      <c r="E346" s="3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2"/>
      <c r="B347" s="2"/>
      <c r="C347" s="2"/>
      <c r="D347" s="2"/>
      <c r="E347" s="3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2"/>
      <c r="B348" s="2"/>
      <c r="C348" s="2"/>
      <c r="D348" s="2"/>
      <c r="E348" s="3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2"/>
      <c r="B349" s="2"/>
      <c r="C349" s="2"/>
      <c r="D349" s="2"/>
      <c r="E349" s="3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2"/>
      <c r="B350" s="2"/>
      <c r="C350" s="2"/>
      <c r="D350" s="2"/>
      <c r="E350" s="3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2"/>
      <c r="B351" s="2"/>
      <c r="C351" s="2"/>
      <c r="D351" s="2"/>
      <c r="E351" s="3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2"/>
      <c r="B352" s="2"/>
      <c r="C352" s="2"/>
      <c r="D352" s="2"/>
      <c r="E352" s="3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2"/>
      <c r="B353" s="2"/>
      <c r="C353" s="2"/>
      <c r="D353" s="2"/>
      <c r="E353" s="3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2"/>
      <c r="B354" s="2"/>
      <c r="C354" s="2"/>
      <c r="D354" s="2"/>
      <c r="E354" s="3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2"/>
      <c r="B355" s="2"/>
      <c r="C355" s="2"/>
      <c r="D355" s="2"/>
      <c r="E355" s="3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2"/>
      <c r="B356" s="2"/>
      <c r="C356" s="2"/>
      <c r="D356" s="2"/>
      <c r="E356" s="3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2"/>
      <c r="B357" s="2"/>
      <c r="C357" s="2"/>
      <c r="D357" s="2"/>
      <c r="E357" s="3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2"/>
      <c r="B358" s="2"/>
      <c r="C358" s="2"/>
      <c r="D358" s="2"/>
      <c r="E358" s="3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2"/>
      <c r="B359" s="2"/>
      <c r="C359" s="2"/>
      <c r="D359" s="2"/>
      <c r="E359" s="3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2"/>
      <c r="C360" s="2"/>
      <c r="D360" s="2"/>
      <c r="E360" s="3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2"/>
      <c r="C361" s="2"/>
      <c r="D361" s="2"/>
      <c r="E361" s="3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2"/>
      <c r="C362" s="2"/>
      <c r="D362" s="2"/>
      <c r="E362" s="3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2"/>
      <c r="B363" s="2"/>
      <c r="C363" s="2"/>
      <c r="D363" s="2"/>
      <c r="E363" s="3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2"/>
      <c r="B364" s="2"/>
      <c r="C364" s="2"/>
      <c r="D364" s="2"/>
      <c r="E364" s="3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2"/>
      <c r="B365" s="2"/>
      <c r="C365" s="2"/>
      <c r="D365" s="2"/>
      <c r="E365" s="3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2"/>
      <c r="B366" s="2"/>
      <c r="C366" s="2"/>
      <c r="D366" s="2"/>
      <c r="E366" s="3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2"/>
      <c r="B367" s="2"/>
      <c r="C367" s="2"/>
      <c r="D367" s="2"/>
      <c r="E367" s="3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2"/>
      <c r="B368" s="2"/>
      <c r="C368" s="2"/>
      <c r="D368" s="2"/>
      <c r="E368" s="3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2"/>
      <c r="B369" s="2"/>
      <c r="C369" s="2"/>
      <c r="D369" s="2"/>
      <c r="E369" s="3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2"/>
      <c r="B370" s="2"/>
      <c r="C370" s="2"/>
      <c r="D370" s="2"/>
      <c r="E370" s="3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2"/>
      <c r="B371" s="2"/>
      <c r="C371" s="2"/>
      <c r="D371" s="2"/>
      <c r="E371" s="3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2"/>
      <c r="B372" s="2"/>
      <c r="C372" s="2"/>
      <c r="D372" s="2"/>
      <c r="E372" s="3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2"/>
      <c r="B373" s="2"/>
      <c r="C373" s="2"/>
      <c r="D373" s="2"/>
      <c r="E373" s="3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2"/>
      <c r="B374" s="2"/>
      <c r="C374" s="2"/>
      <c r="D374" s="2"/>
      <c r="E374" s="3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2"/>
      <c r="B375" s="2"/>
      <c r="C375" s="2"/>
      <c r="D375" s="2"/>
      <c r="E375" s="3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2"/>
      <c r="B376" s="2"/>
      <c r="C376" s="2"/>
      <c r="D376" s="2"/>
      <c r="E376" s="3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2"/>
      <c r="B377" s="2"/>
      <c r="C377" s="2"/>
      <c r="D377" s="2"/>
      <c r="E377" s="3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2"/>
      <c r="C378" s="2"/>
      <c r="D378" s="2"/>
      <c r="E378" s="3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2"/>
      <c r="C379" s="2"/>
      <c r="D379" s="2"/>
      <c r="E379" s="3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2"/>
      <c r="C380" s="2"/>
      <c r="D380" s="2"/>
      <c r="E380" s="3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2"/>
      <c r="B381" s="2"/>
      <c r="C381" s="2"/>
      <c r="D381" s="2"/>
      <c r="E381" s="3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2"/>
      <c r="B382" s="2"/>
      <c r="C382" s="2"/>
      <c r="D382" s="2"/>
      <c r="E382" s="3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2"/>
      <c r="B383" s="2"/>
      <c r="C383" s="2"/>
      <c r="D383" s="2"/>
      <c r="E383" s="3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2"/>
      <c r="B384" s="2"/>
      <c r="C384" s="2"/>
      <c r="D384" s="2"/>
      <c r="E384" s="3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2"/>
      <c r="B385" s="2"/>
      <c r="C385" s="2"/>
      <c r="D385" s="2"/>
      <c r="E385" s="3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2"/>
      <c r="B386" s="2"/>
      <c r="C386" s="2"/>
      <c r="D386" s="2"/>
      <c r="E386" s="3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2"/>
      <c r="B387" s="2"/>
      <c r="C387" s="2"/>
      <c r="D387" s="2"/>
      <c r="E387" s="3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2"/>
      <c r="B388" s="2"/>
      <c r="C388" s="2"/>
      <c r="D388" s="2"/>
      <c r="E388" s="3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2"/>
      <c r="B389" s="2"/>
      <c r="C389" s="2"/>
      <c r="D389" s="2"/>
      <c r="E389" s="3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2"/>
      <c r="B390" s="2"/>
      <c r="C390" s="2"/>
      <c r="D390" s="2"/>
      <c r="E390" s="3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2"/>
      <c r="B391" s="2"/>
      <c r="C391" s="2"/>
      <c r="D391" s="2"/>
      <c r="E391" s="3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2"/>
      <c r="B392" s="2"/>
      <c r="C392" s="2"/>
      <c r="D392" s="2"/>
      <c r="E392" s="3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2"/>
      <c r="B393" s="2"/>
      <c r="C393" s="2"/>
      <c r="D393" s="2"/>
      <c r="E393" s="3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2"/>
      <c r="B394" s="2"/>
      <c r="C394" s="2"/>
      <c r="D394" s="2"/>
      <c r="E394" s="3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2"/>
      <c r="B395" s="2"/>
      <c r="C395" s="2"/>
      <c r="D395" s="2"/>
      <c r="E395" s="3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2"/>
      <c r="B396" s="2"/>
      <c r="C396" s="2"/>
      <c r="D396" s="2"/>
      <c r="E396" s="3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2"/>
      <c r="B397" s="2"/>
      <c r="C397" s="2"/>
      <c r="D397" s="2"/>
      <c r="E397" s="3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2"/>
      <c r="B398" s="2"/>
      <c r="C398" s="2"/>
      <c r="D398" s="2"/>
      <c r="E398" s="3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2"/>
      <c r="B399" s="2"/>
      <c r="C399" s="2"/>
      <c r="D399" s="2"/>
      <c r="E399" s="3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2"/>
      <c r="B400" s="2"/>
      <c r="C400" s="2"/>
      <c r="D400" s="2"/>
      <c r="E400" s="3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2"/>
      <c r="B401" s="2"/>
      <c r="C401" s="2"/>
      <c r="D401" s="2"/>
      <c r="E401" s="3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2"/>
      <c r="B402" s="2"/>
      <c r="C402" s="2"/>
      <c r="D402" s="2"/>
      <c r="E402" s="3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2"/>
      <c r="B403" s="2"/>
      <c r="C403" s="2"/>
      <c r="D403" s="2"/>
      <c r="E403" s="3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2"/>
      <c r="B404" s="2"/>
      <c r="C404" s="2"/>
      <c r="D404" s="2"/>
      <c r="E404" s="3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2"/>
      <c r="B405" s="2"/>
      <c r="C405" s="2"/>
      <c r="D405" s="2"/>
      <c r="E405" s="3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2"/>
      <c r="B406" s="2"/>
      <c r="C406" s="2"/>
      <c r="D406" s="2"/>
      <c r="E406" s="3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2"/>
      <c r="B407" s="2"/>
      <c r="C407" s="2"/>
      <c r="D407" s="2"/>
      <c r="E407" s="3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2"/>
      <c r="B408" s="2"/>
      <c r="C408" s="2"/>
      <c r="D408" s="2"/>
      <c r="E408" s="3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2"/>
      <c r="B409" s="2"/>
      <c r="C409" s="2"/>
      <c r="D409" s="2"/>
      <c r="E409" s="3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2"/>
      <c r="B410" s="2"/>
      <c r="C410" s="2"/>
      <c r="D410" s="2"/>
      <c r="E410" s="3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2"/>
      <c r="C411" s="2"/>
      <c r="D411" s="2"/>
      <c r="E411" s="3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2"/>
      <c r="C412" s="2"/>
      <c r="D412" s="2"/>
      <c r="E412" s="3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2"/>
      <c r="C413" s="2"/>
      <c r="D413" s="2"/>
      <c r="E413" s="3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2"/>
      <c r="B414" s="2"/>
      <c r="C414" s="2"/>
      <c r="D414" s="2"/>
      <c r="E414" s="3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2"/>
      <c r="B415" s="2"/>
      <c r="C415" s="2"/>
      <c r="D415" s="2"/>
      <c r="E415" s="3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2"/>
      <c r="B416" s="2"/>
      <c r="C416" s="2"/>
      <c r="D416" s="2"/>
      <c r="E416" s="3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2"/>
      <c r="B417" s="2"/>
      <c r="C417" s="2"/>
      <c r="D417" s="2"/>
      <c r="E417" s="3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2"/>
      <c r="B418" s="2"/>
      <c r="C418" s="2"/>
      <c r="D418" s="2"/>
      <c r="E418" s="3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2"/>
      <c r="B419" s="2"/>
      <c r="C419" s="2"/>
      <c r="D419" s="2"/>
      <c r="E419" s="3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2"/>
      <c r="B420" s="2"/>
      <c r="C420" s="2"/>
      <c r="D420" s="2"/>
      <c r="E420" s="3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2"/>
      <c r="B421" s="2"/>
      <c r="C421" s="2"/>
      <c r="D421" s="2"/>
      <c r="E421" s="3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2"/>
      <c r="B422" s="2"/>
      <c r="C422" s="2"/>
      <c r="D422" s="2"/>
      <c r="E422" s="3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2"/>
      <c r="B423" s="2"/>
      <c r="C423" s="2"/>
      <c r="D423" s="2"/>
      <c r="E423" s="3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2"/>
      <c r="B424" s="2"/>
      <c r="C424" s="2"/>
      <c r="D424" s="2"/>
      <c r="E424" s="3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2"/>
      <c r="B425" s="2"/>
      <c r="C425" s="2"/>
      <c r="D425" s="2"/>
      <c r="E425" s="3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2"/>
      <c r="B426" s="2"/>
      <c r="C426" s="2"/>
      <c r="D426" s="2"/>
      <c r="E426" s="3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2"/>
      <c r="B427" s="2"/>
      <c r="C427" s="2"/>
      <c r="D427" s="2"/>
      <c r="E427" s="3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2"/>
      <c r="B428" s="2"/>
      <c r="C428" s="2"/>
      <c r="D428" s="2"/>
      <c r="E428" s="3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2"/>
      <c r="B429" s="2"/>
      <c r="C429" s="2"/>
      <c r="D429" s="2"/>
      <c r="E429" s="3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2"/>
      <c r="B430" s="2"/>
      <c r="C430" s="2"/>
      <c r="D430" s="2"/>
      <c r="E430" s="3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2"/>
      <c r="B431" s="2"/>
      <c r="C431" s="2"/>
      <c r="D431" s="2"/>
      <c r="E431" s="3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2"/>
      <c r="B432" s="2"/>
      <c r="C432" s="2"/>
      <c r="D432" s="2"/>
      <c r="E432" s="3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2"/>
      <c r="B433" s="2"/>
      <c r="C433" s="2"/>
      <c r="D433" s="2"/>
      <c r="E433" s="3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2"/>
      <c r="B434" s="2"/>
      <c r="C434" s="2"/>
      <c r="D434" s="2"/>
      <c r="E434" s="3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2"/>
      <c r="B435" s="2"/>
      <c r="C435" s="2"/>
      <c r="D435" s="2"/>
      <c r="E435" s="3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2"/>
      <c r="B436" s="2"/>
      <c r="C436" s="2"/>
      <c r="D436" s="2"/>
      <c r="E436" s="3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2"/>
      <c r="B437" s="2"/>
      <c r="C437" s="2"/>
      <c r="D437" s="2"/>
      <c r="E437" s="3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2"/>
      <c r="B438" s="2"/>
      <c r="C438" s="2"/>
      <c r="D438" s="2"/>
      <c r="E438" s="3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2"/>
      <c r="C439" s="2"/>
      <c r="D439" s="2"/>
      <c r="E439" s="3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2"/>
      <c r="C440" s="2"/>
      <c r="D440" s="2"/>
      <c r="E440" s="3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2"/>
      <c r="C441" s="2"/>
      <c r="D441" s="2"/>
      <c r="E441" s="3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2"/>
      <c r="B442" s="2"/>
      <c r="C442" s="2"/>
      <c r="D442" s="2"/>
      <c r="E442" s="3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2"/>
      <c r="B443" s="2"/>
      <c r="C443" s="2"/>
      <c r="D443" s="2"/>
      <c r="E443" s="3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2"/>
      <c r="B444" s="2"/>
      <c r="C444" s="2"/>
      <c r="D444" s="2"/>
      <c r="E444" s="3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2"/>
      <c r="B445" s="2"/>
      <c r="C445" s="2"/>
      <c r="D445" s="2"/>
      <c r="E445" s="3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2"/>
      <c r="B446" s="2"/>
      <c r="C446" s="2"/>
      <c r="D446" s="2"/>
      <c r="E446" s="3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2"/>
      <c r="B447" s="2"/>
      <c r="C447" s="2"/>
      <c r="D447" s="2"/>
      <c r="E447" s="3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2"/>
      <c r="B448" s="2"/>
      <c r="C448" s="2"/>
      <c r="D448" s="2"/>
      <c r="E448" s="3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2"/>
      <c r="B449" s="2"/>
      <c r="C449" s="2"/>
      <c r="D449" s="2"/>
      <c r="E449" s="3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2"/>
      <c r="B450" s="2"/>
      <c r="C450" s="2"/>
      <c r="D450" s="2"/>
      <c r="E450" s="3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2"/>
      <c r="B451" s="2"/>
      <c r="C451" s="2"/>
      <c r="D451" s="2"/>
      <c r="E451" s="3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2"/>
      <c r="B452" s="2"/>
      <c r="C452" s="2"/>
      <c r="D452" s="2"/>
      <c r="E452" s="3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2"/>
      <c r="B453" s="2"/>
      <c r="C453" s="2"/>
      <c r="D453" s="2"/>
      <c r="E453" s="3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2"/>
      <c r="B454" s="2"/>
      <c r="C454" s="2"/>
      <c r="D454" s="2"/>
      <c r="E454" s="3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2"/>
      <c r="B455" s="2"/>
      <c r="C455" s="2"/>
      <c r="D455" s="2"/>
      <c r="E455" s="3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2"/>
      <c r="B456" s="2"/>
      <c r="C456" s="2"/>
      <c r="D456" s="2"/>
      <c r="E456" s="3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2"/>
      <c r="B457" s="2"/>
      <c r="C457" s="2"/>
      <c r="D457" s="2"/>
      <c r="E457" s="3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2"/>
      <c r="B458" s="2"/>
      <c r="C458" s="2"/>
      <c r="D458" s="2"/>
      <c r="E458" s="3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2"/>
      <c r="B459" s="2"/>
      <c r="C459" s="2"/>
      <c r="D459" s="2"/>
      <c r="E459" s="3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2"/>
      <c r="B460" s="2"/>
      <c r="C460" s="2"/>
      <c r="D460" s="2"/>
      <c r="E460" s="3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2"/>
      <c r="B461" s="2"/>
      <c r="C461" s="2"/>
      <c r="D461" s="2"/>
      <c r="E461" s="3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2"/>
      <c r="B462" s="2"/>
      <c r="C462" s="2"/>
      <c r="D462" s="2"/>
      <c r="E462" s="3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2"/>
      <c r="B463" s="2"/>
      <c r="C463" s="2"/>
      <c r="D463" s="2"/>
      <c r="E463" s="3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2"/>
      <c r="B464" s="2"/>
      <c r="C464" s="2"/>
      <c r="D464" s="2"/>
      <c r="E464" s="3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2"/>
      <c r="B465" s="2"/>
      <c r="C465" s="2"/>
      <c r="D465" s="2"/>
      <c r="E465" s="3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2"/>
      <c r="B466" s="2"/>
      <c r="C466" s="2"/>
      <c r="D466" s="2"/>
      <c r="E466" s="3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2"/>
      <c r="B467" s="2"/>
      <c r="C467" s="2"/>
      <c r="D467" s="2"/>
      <c r="E467" s="3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2"/>
      <c r="B468" s="2"/>
      <c r="C468" s="2"/>
      <c r="D468" s="2"/>
      <c r="E468" s="3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2"/>
      <c r="B469" s="2"/>
      <c r="C469" s="2"/>
      <c r="D469" s="2"/>
      <c r="E469" s="3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2"/>
      <c r="B470" s="2"/>
      <c r="C470" s="2"/>
      <c r="D470" s="2"/>
      <c r="E470" s="3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2"/>
      <c r="B471" s="2"/>
      <c r="C471" s="2"/>
      <c r="D471" s="2"/>
      <c r="E471" s="3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2"/>
      <c r="B472" s="2"/>
      <c r="C472" s="2"/>
      <c r="D472" s="2"/>
      <c r="E472" s="3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2"/>
      <c r="B473" s="2"/>
      <c r="C473" s="2"/>
      <c r="D473" s="2"/>
      <c r="E473" s="3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2"/>
      <c r="B474" s="2"/>
      <c r="C474" s="2"/>
      <c r="D474" s="2"/>
      <c r="E474" s="3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2"/>
      <c r="B475" s="2"/>
      <c r="C475" s="2"/>
      <c r="D475" s="2"/>
      <c r="E475" s="3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2"/>
      <c r="B476" s="2"/>
      <c r="C476" s="2"/>
      <c r="D476" s="2"/>
      <c r="E476" s="3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2"/>
      <c r="B477" s="2"/>
      <c r="C477" s="2"/>
      <c r="D477" s="2"/>
      <c r="E477" s="3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2"/>
      <c r="B478" s="2"/>
      <c r="C478" s="2"/>
      <c r="D478" s="2"/>
      <c r="E478" s="3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2"/>
      <c r="C479" s="2"/>
      <c r="D479" s="2"/>
      <c r="E479" s="3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2"/>
      <c r="C480" s="2"/>
      <c r="D480" s="2"/>
      <c r="E480" s="3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2"/>
      <c r="C481" s="2"/>
      <c r="D481" s="2"/>
      <c r="E481" s="3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2"/>
      <c r="B482" s="2"/>
      <c r="C482" s="2"/>
      <c r="D482" s="2"/>
      <c r="E482" s="3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2"/>
      <c r="B483" s="2"/>
      <c r="C483" s="2"/>
      <c r="D483" s="2"/>
      <c r="E483" s="3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2"/>
      <c r="B484" s="2"/>
      <c r="C484" s="2"/>
      <c r="D484" s="2"/>
      <c r="E484" s="3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2"/>
      <c r="B485" s="2"/>
      <c r="C485" s="2"/>
      <c r="D485" s="2"/>
      <c r="E485" s="3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2"/>
      <c r="B486" s="2"/>
      <c r="C486" s="2"/>
      <c r="D486" s="2"/>
      <c r="E486" s="3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2"/>
      <c r="B487" s="2"/>
      <c r="C487" s="2"/>
      <c r="D487" s="2"/>
      <c r="E487" s="3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2"/>
      <c r="B488" s="2"/>
      <c r="C488" s="2"/>
      <c r="D488" s="2"/>
      <c r="E488" s="3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2"/>
      <c r="B489" s="2"/>
      <c r="C489" s="2"/>
      <c r="D489" s="2"/>
      <c r="E489" s="3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2"/>
      <c r="B490" s="2"/>
      <c r="C490" s="2"/>
      <c r="D490" s="2"/>
      <c r="E490" s="3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2"/>
      <c r="B491" s="2"/>
      <c r="C491" s="2"/>
      <c r="D491" s="2"/>
      <c r="E491" s="3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2"/>
      <c r="B492" s="2"/>
      <c r="C492" s="2"/>
      <c r="D492" s="2"/>
      <c r="E492" s="3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2"/>
      <c r="B493" s="2"/>
      <c r="C493" s="2"/>
      <c r="D493" s="2"/>
      <c r="E493" s="3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2"/>
      <c r="B494" s="2"/>
      <c r="C494" s="2"/>
      <c r="D494" s="2"/>
      <c r="E494" s="3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2"/>
      <c r="B495" s="2"/>
      <c r="C495" s="2"/>
      <c r="D495" s="2"/>
      <c r="E495" s="3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2"/>
      <c r="B496" s="2"/>
      <c r="C496" s="2"/>
      <c r="D496" s="2"/>
      <c r="E496" s="3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2"/>
      <c r="B497" s="2"/>
      <c r="C497" s="2"/>
      <c r="D497" s="2"/>
      <c r="E497" s="3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2"/>
      <c r="B498" s="2"/>
      <c r="C498" s="2"/>
      <c r="D498" s="2"/>
      <c r="E498" s="3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2"/>
      <c r="B499" s="2"/>
      <c r="C499" s="2"/>
      <c r="D499" s="2"/>
      <c r="E499" s="3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2"/>
      <c r="B500" s="2"/>
      <c r="C500" s="2"/>
      <c r="D500" s="2"/>
      <c r="E500" s="3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2"/>
      <c r="B501" s="2"/>
      <c r="C501" s="2"/>
      <c r="D501" s="2"/>
      <c r="E501" s="3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2"/>
      <c r="B502" s="2"/>
      <c r="C502" s="2"/>
      <c r="D502" s="2"/>
      <c r="E502" s="3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2"/>
      <c r="B503" s="2"/>
      <c r="C503" s="2"/>
      <c r="D503" s="2"/>
      <c r="E503" s="3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2"/>
      <c r="B504" s="2"/>
      <c r="C504" s="2"/>
      <c r="D504" s="2"/>
      <c r="E504" s="3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2"/>
      <c r="B505" s="2"/>
      <c r="C505" s="2"/>
      <c r="D505" s="2"/>
      <c r="E505" s="3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2"/>
      <c r="B506" s="2"/>
      <c r="C506" s="2"/>
      <c r="D506" s="2"/>
      <c r="E506" s="3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2"/>
      <c r="B507" s="2"/>
      <c r="C507" s="2"/>
      <c r="D507" s="2"/>
      <c r="E507" s="3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2"/>
      <c r="B508" s="2"/>
      <c r="C508" s="2"/>
      <c r="D508" s="2"/>
      <c r="E508" s="3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2"/>
      <c r="B509" s="2"/>
      <c r="C509" s="2"/>
      <c r="D509" s="2"/>
      <c r="E509" s="3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2"/>
      <c r="B510" s="2"/>
      <c r="C510" s="2"/>
      <c r="D510" s="2"/>
      <c r="E510" s="3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2"/>
      <c r="B511" s="2"/>
      <c r="C511" s="2"/>
      <c r="D511" s="2"/>
      <c r="E511" s="3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2"/>
      <c r="B512" s="2"/>
      <c r="C512" s="2"/>
      <c r="D512" s="2"/>
      <c r="E512" s="3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2"/>
      <c r="B513" s="2"/>
      <c r="C513" s="2"/>
      <c r="D513" s="2"/>
      <c r="E513" s="3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2"/>
      <c r="B514" s="2"/>
      <c r="C514" s="2"/>
      <c r="D514" s="2"/>
      <c r="E514" s="3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2"/>
      <c r="B515" s="2"/>
      <c r="C515" s="2"/>
      <c r="D515" s="2"/>
      <c r="E515" s="3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2"/>
      <c r="B516" s="2"/>
      <c r="C516" s="2"/>
      <c r="D516" s="2"/>
      <c r="E516" s="3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2"/>
      <c r="B517" s="2"/>
      <c r="C517" s="2"/>
      <c r="D517" s="2"/>
      <c r="E517" s="3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2"/>
      <c r="B518" s="2"/>
      <c r="C518" s="2"/>
      <c r="D518" s="2"/>
      <c r="E518" s="3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2"/>
      <c r="B519" s="2"/>
      <c r="C519" s="2"/>
      <c r="D519" s="2"/>
      <c r="E519" s="3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2"/>
      <c r="C520" s="2"/>
      <c r="D520" s="2"/>
      <c r="E520" s="3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2"/>
      <c r="C521" s="2"/>
      <c r="D521" s="2"/>
      <c r="E521" s="3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2"/>
      <c r="C522" s="2"/>
      <c r="D522" s="2"/>
      <c r="E522" s="3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2"/>
      <c r="B523" s="2"/>
      <c r="C523" s="2"/>
      <c r="D523" s="2"/>
      <c r="E523" s="3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2"/>
      <c r="B524" s="2"/>
      <c r="C524" s="2"/>
      <c r="D524" s="2"/>
      <c r="E524" s="3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2"/>
      <c r="B525" s="2"/>
      <c r="C525" s="2"/>
      <c r="D525" s="2"/>
      <c r="E525" s="3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2"/>
      <c r="B526" s="2"/>
      <c r="C526" s="2"/>
      <c r="D526" s="2"/>
      <c r="E526" s="3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2"/>
      <c r="B527" s="2"/>
      <c r="C527" s="2"/>
      <c r="D527" s="2"/>
      <c r="E527" s="3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2"/>
      <c r="B528" s="2"/>
      <c r="C528" s="2"/>
      <c r="D528" s="2"/>
      <c r="E528" s="3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2"/>
      <c r="B529" s="2"/>
      <c r="C529" s="2"/>
      <c r="D529" s="2"/>
      <c r="E529" s="3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2"/>
      <c r="B530" s="2"/>
      <c r="C530" s="2"/>
      <c r="D530" s="2"/>
      <c r="E530" s="3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2"/>
      <c r="B531" s="2"/>
      <c r="C531" s="2"/>
      <c r="D531" s="2"/>
      <c r="E531" s="3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2"/>
      <c r="B532" s="2"/>
      <c r="C532" s="2"/>
      <c r="D532" s="2"/>
      <c r="E532" s="3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2"/>
      <c r="B533" s="2"/>
      <c r="C533" s="2"/>
      <c r="D533" s="2"/>
      <c r="E533" s="3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2"/>
      <c r="B534" s="2"/>
      <c r="C534" s="2"/>
      <c r="D534" s="2"/>
      <c r="E534" s="3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2"/>
      <c r="B535" s="2"/>
      <c r="C535" s="2"/>
      <c r="D535" s="2"/>
      <c r="E535" s="3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2"/>
      <c r="B536" s="2"/>
      <c r="C536" s="2"/>
      <c r="D536" s="2"/>
      <c r="E536" s="3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2"/>
      <c r="B537" s="2"/>
      <c r="C537" s="2"/>
      <c r="D537" s="2"/>
      <c r="E537" s="3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2"/>
      <c r="B538" s="2"/>
      <c r="C538" s="2"/>
      <c r="D538" s="2"/>
      <c r="E538" s="3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2"/>
      <c r="B539" s="2"/>
      <c r="C539" s="2"/>
      <c r="D539" s="2"/>
      <c r="E539" s="3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2"/>
      <c r="B540" s="2"/>
      <c r="C540" s="2"/>
      <c r="D540" s="2"/>
      <c r="E540" s="3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2"/>
      <c r="B541" s="2"/>
      <c r="C541" s="2"/>
      <c r="D541" s="2"/>
      <c r="E541" s="3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2"/>
      <c r="B542" s="2"/>
      <c r="C542" s="2"/>
      <c r="D542" s="2"/>
      <c r="E542" s="3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2"/>
      <c r="B543" s="2"/>
      <c r="C543" s="2"/>
      <c r="D543" s="2"/>
      <c r="E543" s="3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2"/>
      <c r="B544" s="2"/>
      <c r="C544" s="2"/>
      <c r="D544" s="2"/>
      <c r="E544" s="3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2"/>
      <c r="B545" s="2"/>
      <c r="C545" s="2"/>
      <c r="D545" s="2"/>
      <c r="E545" s="3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2"/>
      <c r="B546" s="2"/>
      <c r="C546" s="2"/>
      <c r="D546" s="2"/>
      <c r="E546" s="3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2"/>
      <c r="B547" s="2"/>
      <c r="C547" s="2"/>
      <c r="D547" s="2"/>
      <c r="E547" s="3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2"/>
      <c r="B548" s="2"/>
      <c r="C548" s="2"/>
      <c r="D548" s="2"/>
      <c r="E548" s="3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2"/>
      <c r="B549" s="2"/>
      <c r="C549" s="2"/>
      <c r="D549" s="2"/>
      <c r="E549" s="3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2"/>
      <c r="B550" s="2"/>
      <c r="C550" s="2"/>
      <c r="D550" s="2"/>
      <c r="E550" s="3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2"/>
      <c r="B551" s="2"/>
      <c r="C551" s="2"/>
      <c r="D551" s="2"/>
      <c r="E551" s="3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2"/>
      <c r="B552" s="2"/>
      <c r="C552" s="2"/>
      <c r="D552" s="2"/>
      <c r="E552" s="3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2"/>
      <c r="B553" s="2"/>
      <c r="C553" s="2"/>
      <c r="D553" s="2"/>
      <c r="E553" s="3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2"/>
      <c r="B554" s="2"/>
      <c r="C554" s="2"/>
      <c r="D554" s="2"/>
      <c r="E554" s="3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2"/>
      <c r="B555" s="2"/>
      <c r="C555" s="2"/>
      <c r="D555" s="2"/>
      <c r="E555" s="3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2"/>
      <c r="B556" s="2"/>
      <c r="C556" s="2"/>
      <c r="D556" s="2"/>
      <c r="E556" s="3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2"/>
      <c r="B557" s="2"/>
      <c r="C557" s="2"/>
      <c r="D557" s="2"/>
      <c r="E557" s="3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2"/>
      <c r="B558" s="2"/>
      <c r="C558" s="2"/>
      <c r="D558" s="2"/>
      <c r="E558" s="3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2"/>
      <c r="B559" s="2"/>
      <c r="C559" s="2"/>
      <c r="D559" s="2"/>
      <c r="E559" s="3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2"/>
      <c r="C560" s="2"/>
      <c r="D560" s="2"/>
      <c r="E560" s="3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2"/>
      <c r="C561" s="2"/>
      <c r="D561" s="2"/>
      <c r="E561" s="3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2"/>
      <c r="C562" s="2"/>
      <c r="D562" s="2"/>
      <c r="E562" s="3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2"/>
      <c r="B563" s="2"/>
      <c r="C563" s="2"/>
      <c r="D563" s="2"/>
      <c r="E563" s="3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2"/>
      <c r="B564" s="2"/>
      <c r="C564" s="2"/>
      <c r="D564" s="2"/>
      <c r="E564" s="3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2"/>
      <c r="B565" s="2"/>
      <c r="C565" s="2"/>
      <c r="D565" s="2"/>
      <c r="E565" s="3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2"/>
      <c r="B566" s="2"/>
      <c r="C566" s="2"/>
      <c r="D566" s="2"/>
      <c r="E566" s="3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2"/>
      <c r="B567" s="2"/>
      <c r="C567" s="2"/>
      <c r="D567" s="2"/>
      <c r="E567" s="3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2"/>
      <c r="B568" s="2"/>
      <c r="C568" s="2"/>
      <c r="D568" s="2"/>
      <c r="E568" s="3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2"/>
      <c r="B569" s="2"/>
      <c r="C569" s="2"/>
      <c r="D569" s="2"/>
      <c r="E569" s="3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2"/>
      <c r="B570" s="2"/>
      <c r="C570" s="2"/>
      <c r="D570" s="2"/>
      <c r="E570" s="3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2"/>
      <c r="B571" s="2"/>
      <c r="C571" s="2"/>
      <c r="D571" s="2"/>
      <c r="E571" s="3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2"/>
      <c r="B572" s="2"/>
      <c r="C572" s="2"/>
      <c r="D572" s="2"/>
      <c r="E572" s="3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2"/>
      <c r="B573" s="2"/>
      <c r="C573" s="2"/>
      <c r="D573" s="2"/>
      <c r="E573" s="3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2"/>
      <c r="B574" s="2"/>
      <c r="C574" s="2"/>
      <c r="D574" s="2"/>
      <c r="E574" s="3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2"/>
      <c r="B575" s="2"/>
      <c r="C575" s="2"/>
      <c r="D575" s="2"/>
      <c r="E575" s="3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2"/>
      <c r="B576" s="2"/>
      <c r="C576" s="2"/>
      <c r="D576" s="2"/>
      <c r="E576" s="3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2"/>
      <c r="B577" s="2"/>
      <c r="C577" s="2"/>
      <c r="D577" s="2"/>
      <c r="E577" s="3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2"/>
      <c r="B578" s="2"/>
      <c r="C578" s="2"/>
      <c r="D578" s="2"/>
      <c r="E578" s="3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2"/>
      <c r="B579" s="2"/>
      <c r="C579" s="2"/>
      <c r="D579" s="2"/>
      <c r="E579" s="3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2"/>
      <c r="B580" s="2"/>
      <c r="C580" s="2"/>
      <c r="D580" s="2"/>
      <c r="E580" s="3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2"/>
      <c r="B581" s="2"/>
      <c r="C581" s="2"/>
      <c r="D581" s="2"/>
      <c r="E581" s="3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2"/>
      <c r="B582" s="2"/>
      <c r="C582" s="2"/>
      <c r="D582" s="2"/>
      <c r="E582" s="3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2"/>
      <c r="B583" s="2"/>
      <c r="C583" s="2"/>
      <c r="D583" s="2"/>
      <c r="E583" s="3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2"/>
      <c r="B584" s="2"/>
      <c r="C584" s="2"/>
      <c r="D584" s="2"/>
      <c r="E584" s="3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2"/>
      <c r="B585" s="2"/>
      <c r="C585" s="2"/>
      <c r="D585" s="2"/>
      <c r="E585" s="3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2"/>
      <c r="B586" s="2"/>
      <c r="C586" s="2"/>
      <c r="D586" s="2"/>
      <c r="E586" s="3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2"/>
      <c r="B587" s="2"/>
      <c r="C587" s="2"/>
      <c r="D587" s="2"/>
      <c r="E587" s="3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2"/>
      <c r="B588" s="2"/>
      <c r="C588" s="2"/>
      <c r="D588" s="2"/>
      <c r="E588" s="3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2"/>
      <c r="B589" s="2"/>
      <c r="C589" s="2"/>
      <c r="D589" s="2"/>
      <c r="E589" s="3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2"/>
      <c r="B590" s="2"/>
      <c r="C590" s="2"/>
      <c r="D590" s="2"/>
      <c r="E590" s="3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2"/>
      <c r="B591" s="2"/>
      <c r="C591" s="2"/>
      <c r="D591" s="2"/>
      <c r="E591" s="3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2"/>
      <c r="B592" s="2"/>
      <c r="C592" s="2"/>
      <c r="D592" s="2"/>
      <c r="E592" s="3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2"/>
      <c r="B593" s="2"/>
      <c r="C593" s="2"/>
      <c r="D593" s="2"/>
      <c r="E593" s="3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2"/>
      <c r="B594" s="2"/>
      <c r="C594" s="2"/>
      <c r="D594" s="2"/>
      <c r="E594" s="3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2"/>
      <c r="B595" s="2"/>
      <c r="C595" s="2"/>
      <c r="D595" s="2"/>
      <c r="E595" s="3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2"/>
      <c r="B596" s="2"/>
      <c r="C596" s="2"/>
      <c r="D596" s="2"/>
      <c r="E596" s="3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2"/>
      <c r="B597" s="2"/>
      <c r="C597" s="2"/>
      <c r="D597" s="2"/>
      <c r="E597" s="3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2"/>
      <c r="B598" s="2"/>
      <c r="C598" s="2"/>
      <c r="D598" s="2"/>
      <c r="E598" s="3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2"/>
      <c r="C599" s="2"/>
      <c r="D599" s="2"/>
      <c r="E599" s="3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2"/>
      <c r="C600" s="2"/>
      <c r="D600" s="2"/>
      <c r="E600" s="3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2"/>
      <c r="C601" s="2"/>
      <c r="D601" s="2"/>
      <c r="E601" s="3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2"/>
      <c r="C602" s="2"/>
      <c r="D602" s="2"/>
      <c r="E602" s="3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2"/>
      <c r="B603" s="2"/>
      <c r="C603" s="2"/>
      <c r="D603" s="2"/>
      <c r="E603" s="3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2"/>
      <c r="B604" s="2"/>
      <c r="C604" s="2"/>
      <c r="D604" s="2"/>
      <c r="E604" s="3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2"/>
      <c r="B605" s="2"/>
      <c r="C605" s="2"/>
      <c r="D605" s="2"/>
      <c r="E605" s="3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2"/>
      <c r="B606" s="2"/>
      <c r="C606" s="2"/>
      <c r="D606" s="2"/>
      <c r="E606" s="3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2"/>
      <c r="B607" s="2"/>
      <c r="C607" s="2"/>
      <c r="D607" s="2"/>
      <c r="E607" s="3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2"/>
      <c r="B608" s="2"/>
      <c r="C608" s="2"/>
      <c r="D608" s="2"/>
      <c r="E608" s="3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2"/>
      <c r="B609" s="2"/>
      <c r="C609" s="2"/>
      <c r="D609" s="2"/>
      <c r="E609" s="3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2"/>
      <c r="B610" s="2"/>
      <c r="C610" s="2"/>
      <c r="D610" s="2"/>
      <c r="E610" s="3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2"/>
      <c r="B611" s="2"/>
      <c r="C611" s="2"/>
      <c r="D611" s="2"/>
      <c r="E611" s="3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2"/>
      <c r="B612" s="2"/>
      <c r="C612" s="2"/>
      <c r="D612" s="2"/>
      <c r="E612" s="3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2"/>
      <c r="B613" s="2"/>
      <c r="C613" s="2"/>
      <c r="D613" s="2"/>
      <c r="E613" s="3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2"/>
      <c r="B614" s="2"/>
      <c r="C614" s="2"/>
      <c r="D614" s="2"/>
      <c r="E614" s="3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2"/>
      <c r="B615" s="2"/>
      <c r="C615" s="2"/>
      <c r="D615" s="2"/>
      <c r="E615" s="3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2"/>
      <c r="B616" s="2"/>
      <c r="C616" s="2"/>
      <c r="D616" s="2"/>
      <c r="E616" s="3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2"/>
      <c r="B617" s="2"/>
      <c r="C617" s="2"/>
      <c r="D617" s="2"/>
      <c r="E617" s="3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2"/>
      <c r="B618" s="2"/>
      <c r="C618" s="2"/>
      <c r="D618" s="2"/>
      <c r="E618" s="3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2"/>
      <c r="B619" s="2"/>
      <c r="C619" s="2"/>
      <c r="D619" s="2"/>
      <c r="E619" s="3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2"/>
      <c r="B620" s="2"/>
      <c r="C620" s="2"/>
      <c r="D620" s="2"/>
      <c r="E620" s="3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2"/>
      <c r="B621" s="2"/>
      <c r="C621" s="2"/>
      <c r="D621" s="2"/>
      <c r="E621" s="3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2"/>
      <c r="B622" s="2"/>
      <c r="C622" s="2"/>
      <c r="D622" s="2"/>
      <c r="E622" s="3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2"/>
      <c r="C623" s="2"/>
      <c r="D623" s="2"/>
      <c r="E623" s="3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2"/>
      <c r="C624" s="2"/>
      <c r="D624" s="2"/>
      <c r="E624" s="3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2"/>
      <c r="C625" s="2"/>
      <c r="D625" s="2"/>
      <c r="E625" s="3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2"/>
      <c r="B626" s="2"/>
      <c r="C626" s="2"/>
      <c r="D626" s="2"/>
      <c r="E626" s="3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2"/>
      <c r="B627" s="2"/>
      <c r="C627" s="2"/>
      <c r="D627" s="2"/>
      <c r="E627" s="3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2"/>
      <c r="B628" s="2"/>
      <c r="C628" s="2"/>
      <c r="D628" s="2"/>
      <c r="E628" s="3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2"/>
      <c r="B629" s="2"/>
      <c r="C629" s="2"/>
      <c r="D629" s="2"/>
      <c r="E629" s="3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2"/>
      <c r="B630" s="2"/>
      <c r="C630" s="2"/>
      <c r="D630" s="2"/>
      <c r="E630" s="3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2"/>
      <c r="B631" s="2"/>
      <c r="C631" s="2"/>
      <c r="D631" s="2"/>
      <c r="E631" s="3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2"/>
      <c r="B632" s="2"/>
      <c r="C632" s="2"/>
      <c r="D632" s="2"/>
      <c r="E632" s="3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2"/>
      <c r="B633" s="2"/>
      <c r="C633" s="2"/>
      <c r="D633" s="2"/>
      <c r="E633" s="3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2"/>
      <c r="B634" s="2"/>
      <c r="C634" s="2"/>
      <c r="D634" s="2"/>
      <c r="E634" s="3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2"/>
      <c r="B635" s="2"/>
      <c r="C635" s="2"/>
      <c r="D635" s="2"/>
      <c r="E635" s="3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2"/>
      <c r="B636" s="2"/>
      <c r="C636" s="2"/>
      <c r="D636" s="2"/>
      <c r="E636" s="3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2"/>
      <c r="B637" s="2"/>
      <c r="C637" s="2"/>
      <c r="D637" s="2"/>
      <c r="E637" s="3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2"/>
      <c r="B638" s="2"/>
      <c r="C638" s="2"/>
      <c r="D638" s="2"/>
      <c r="E638" s="3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2"/>
      <c r="B639" s="2"/>
      <c r="C639" s="2"/>
      <c r="D639" s="2"/>
      <c r="E639" s="3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2"/>
      <c r="B640" s="2"/>
      <c r="C640" s="2"/>
      <c r="D640" s="2"/>
      <c r="E640" s="3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2"/>
      <c r="B641" s="2"/>
      <c r="C641" s="2"/>
      <c r="D641" s="2"/>
      <c r="E641" s="3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2"/>
      <c r="B642" s="2"/>
      <c r="C642" s="2"/>
      <c r="D642" s="2"/>
      <c r="E642" s="3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2"/>
      <c r="C643" s="2"/>
      <c r="D643" s="2"/>
      <c r="E643" s="3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2"/>
      <c r="C644" s="2"/>
      <c r="D644" s="2"/>
      <c r="E644" s="3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2"/>
      <c r="C645" s="2"/>
      <c r="D645" s="2"/>
      <c r="E645" s="3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2"/>
      <c r="C646" s="2"/>
      <c r="D646" s="2"/>
      <c r="E646" s="3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2"/>
      <c r="C647" s="2"/>
      <c r="D647" s="2"/>
      <c r="E647" s="3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2"/>
      <c r="C648" s="2"/>
      <c r="D648" s="2"/>
      <c r="E648" s="3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2"/>
      <c r="C649" s="2"/>
      <c r="D649" s="2"/>
      <c r="E649" s="3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2"/>
      <c r="C650" s="2"/>
      <c r="D650" s="2"/>
      <c r="E650" s="3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2"/>
      <c r="C651" s="2"/>
      <c r="D651" s="2"/>
      <c r="E651" s="3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2"/>
      <c r="C652" s="2"/>
      <c r="D652" s="2"/>
      <c r="E652" s="3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2"/>
      <c r="C653" s="2"/>
      <c r="D653" s="2"/>
      <c r="E653" s="3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2"/>
      <c r="C654" s="2"/>
      <c r="D654" s="2"/>
      <c r="E654" s="3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2"/>
      <c r="C655" s="2"/>
      <c r="D655" s="2"/>
      <c r="E655" s="3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2"/>
      <c r="C656" s="2"/>
      <c r="D656" s="2"/>
      <c r="E656" s="3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2"/>
      <c r="C657" s="2"/>
      <c r="D657" s="2"/>
      <c r="E657" s="3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2"/>
      <c r="C658" s="2"/>
      <c r="D658" s="2"/>
      <c r="E658" s="3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2"/>
      <c r="C659" s="2"/>
      <c r="D659" s="2"/>
      <c r="E659" s="3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2"/>
      <c r="C660" s="2"/>
      <c r="D660" s="2"/>
      <c r="E660" s="3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2"/>
      <c r="C661" s="2"/>
      <c r="D661" s="2"/>
      <c r="E661" s="3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2"/>
      <c r="C662" s="2"/>
      <c r="D662" s="2"/>
      <c r="E662" s="3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2"/>
      <c r="C663" s="2"/>
      <c r="D663" s="2"/>
      <c r="E663" s="3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2"/>
      <c r="C664" s="2"/>
      <c r="D664" s="2"/>
      <c r="E664" s="3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2"/>
      <c r="C665" s="2"/>
      <c r="D665" s="2"/>
      <c r="E665" s="3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2"/>
      <c r="C666" s="2"/>
      <c r="D666" s="2"/>
      <c r="E666" s="3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2"/>
      <c r="C667" s="2"/>
      <c r="D667" s="2"/>
      <c r="E667" s="3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2"/>
      <c r="C668" s="2"/>
      <c r="D668" s="2"/>
      <c r="E668" s="3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2"/>
      <c r="C669" s="2"/>
      <c r="D669" s="2"/>
      <c r="E669" s="3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2"/>
      <c r="C670" s="2"/>
      <c r="D670" s="2"/>
      <c r="E670" s="3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2"/>
      <c r="C671" s="2"/>
      <c r="D671" s="2"/>
      <c r="E671" s="3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2"/>
      <c r="C672" s="2"/>
      <c r="D672" s="2"/>
      <c r="E672" s="3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2"/>
      <c r="C673" s="2"/>
      <c r="D673" s="2"/>
      <c r="E673" s="3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2"/>
      <c r="C674" s="2"/>
      <c r="D674" s="2"/>
      <c r="E674" s="3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2"/>
      <c r="C675" s="2"/>
      <c r="D675" s="2"/>
      <c r="E675" s="3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2"/>
      <c r="C676" s="2"/>
      <c r="D676" s="2"/>
      <c r="E676" s="3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2"/>
      <c r="C677" s="2"/>
      <c r="D677" s="2"/>
      <c r="E677" s="3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2"/>
      <c r="C678" s="2"/>
      <c r="D678" s="2"/>
      <c r="E678" s="3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2"/>
      <c r="C679" s="2"/>
      <c r="D679" s="2"/>
      <c r="E679" s="3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2"/>
      <c r="C680" s="2"/>
      <c r="D680" s="2"/>
      <c r="E680" s="3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2"/>
      <c r="C681" s="2"/>
      <c r="D681" s="2"/>
      <c r="E681" s="3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2"/>
      <c r="C682" s="2"/>
      <c r="D682" s="2"/>
      <c r="E682" s="3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2"/>
      <c r="C683" s="2"/>
      <c r="D683" s="2"/>
      <c r="E683" s="3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2"/>
      <c r="C684" s="2"/>
      <c r="D684" s="2"/>
      <c r="E684" s="3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2"/>
      <c r="C685" s="2"/>
      <c r="D685" s="2"/>
      <c r="E685" s="3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2"/>
      <c r="C686" s="2"/>
      <c r="D686" s="2"/>
      <c r="E686" s="3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2"/>
      <c r="C687" s="2"/>
      <c r="D687" s="2"/>
      <c r="E687" s="3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2"/>
      <c r="C688" s="2"/>
      <c r="D688" s="2"/>
      <c r="E688" s="3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2"/>
      <c r="C689" s="2"/>
      <c r="D689" s="2"/>
      <c r="E689" s="3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2"/>
      <c r="C690" s="2"/>
      <c r="D690" s="2"/>
      <c r="E690" s="3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2"/>
      <c r="C691" s="2"/>
      <c r="D691" s="2"/>
      <c r="E691" s="3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2"/>
      <c r="C692" s="2"/>
      <c r="D692" s="2"/>
      <c r="E692" s="3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2"/>
      <c r="C693" s="2"/>
      <c r="D693" s="2"/>
      <c r="E693" s="3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2"/>
      <c r="C694" s="2"/>
      <c r="D694" s="2"/>
      <c r="E694" s="3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2"/>
      <c r="C695" s="2"/>
      <c r="D695" s="2"/>
      <c r="E695" s="3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2"/>
      <c r="C696" s="2"/>
      <c r="D696" s="2"/>
      <c r="E696" s="3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2"/>
      <c r="C697" s="2"/>
      <c r="D697" s="2"/>
      <c r="E697" s="3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2"/>
      <c r="C698" s="2"/>
      <c r="D698" s="2"/>
      <c r="E698" s="3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2"/>
      <c r="C699" s="2"/>
      <c r="D699" s="2"/>
      <c r="E699" s="3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2"/>
      <c r="C700" s="2"/>
      <c r="D700" s="2"/>
      <c r="E700" s="3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2"/>
      <c r="C701" s="2"/>
      <c r="D701" s="2"/>
      <c r="E701" s="3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2"/>
      <c r="C702" s="2"/>
      <c r="D702" s="2"/>
      <c r="E702" s="3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2"/>
      <c r="C703" s="2"/>
      <c r="D703" s="2"/>
      <c r="E703" s="3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2"/>
      <c r="C704" s="2"/>
      <c r="D704" s="2"/>
      <c r="E704" s="3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2"/>
      <c r="C705" s="2"/>
      <c r="D705" s="2"/>
      <c r="E705" s="3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2"/>
      <c r="C706" s="2"/>
      <c r="D706" s="2"/>
      <c r="E706" s="3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2"/>
      <c r="C707" s="2"/>
      <c r="D707" s="2"/>
      <c r="E707" s="3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2"/>
      <c r="C708" s="2"/>
      <c r="D708" s="2"/>
      <c r="E708" s="3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2"/>
      <c r="C709" s="2"/>
      <c r="D709" s="2"/>
      <c r="E709" s="3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2"/>
      <c r="C710" s="2"/>
      <c r="D710" s="2"/>
      <c r="E710" s="3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2"/>
      <c r="C711" s="2"/>
      <c r="D711" s="2"/>
      <c r="E711" s="3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2"/>
      <c r="C712" s="2"/>
      <c r="D712" s="2"/>
      <c r="E712" s="3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2"/>
      <c r="C713" s="2"/>
      <c r="D713" s="2"/>
      <c r="E713" s="3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2"/>
      <c r="C714" s="2"/>
      <c r="D714" s="2"/>
      <c r="E714" s="3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2"/>
      <c r="C715" s="2"/>
      <c r="D715" s="2"/>
      <c r="E715" s="3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2"/>
      <c r="C716" s="2"/>
      <c r="D716" s="2"/>
      <c r="E716" s="3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2"/>
      <c r="C717" s="2"/>
      <c r="D717" s="2"/>
      <c r="E717" s="3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2"/>
      <c r="C718" s="2"/>
      <c r="D718" s="2"/>
      <c r="E718" s="3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2"/>
      <c r="C719" s="2"/>
      <c r="D719" s="2"/>
      <c r="E719" s="3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2"/>
      <c r="C720" s="2"/>
      <c r="D720" s="2"/>
      <c r="E720" s="3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2"/>
      <c r="C721" s="2"/>
      <c r="D721" s="2"/>
      <c r="E721" s="3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2"/>
      <c r="C722" s="2"/>
      <c r="D722" s="2"/>
      <c r="E722" s="3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2"/>
      <c r="C723" s="2"/>
      <c r="D723" s="2"/>
      <c r="E723" s="3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2"/>
      <c r="C724" s="2"/>
      <c r="D724" s="2"/>
      <c r="E724" s="3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2"/>
      <c r="C725" s="2"/>
      <c r="D725" s="2"/>
      <c r="E725" s="3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2"/>
      <c r="C726" s="2"/>
      <c r="D726" s="2"/>
      <c r="E726" s="3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2"/>
      <c r="C727" s="2"/>
      <c r="D727" s="2"/>
      <c r="E727" s="3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2"/>
      <c r="C728" s="2"/>
      <c r="D728" s="2"/>
      <c r="E728" s="3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2"/>
      <c r="C729" s="2"/>
      <c r="D729" s="2"/>
      <c r="E729" s="3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2"/>
      <c r="C730" s="2"/>
      <c r="D730" s="2"/>
      <c r="E730" s="3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2"/>
      <c r="C731" s="2"/>
      <c r="D731" s="2"/>
      <c r="E731" s="3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2"/>
      <c r="C732" s="2"/>
      <c r="D732" s="2"/>
      <c r="E732" s="3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2"/>
      <c r="C733" s="2"/>
      <c r="D733" s="2"/>
      <c r="E733" s="3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2"/>
      <c r="C734" s="2"/>
      <c r="D734" s="2"/>
      <c r="E734" s="3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2"/>
      <c r="C735" s="2"/>
      <c r="D735" s="2"/>
      <c r="E735" s="3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2"/>
      <c r="C736" s="2"/>
      <c r="D736" s="2"/>
      <c r="E736" s="3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2"/>
      <c r="C737" s="2"/>
      <c r="D737" s="2"/>
      <c r="E737" s="3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2"/>
      <c r="C738" s="2"/>
      <c r="D738" s="2"/>
      <c r="E738" s="3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2"/>
      <c r="C739" s="2"/>
      <c r="D739" s="2"/>
      <c r="E739" s="3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2"/>
      <c r="C740" s="2"/>
      <c r="D740" s="2"/>
      <c r="E740" s="3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2"/>
      <c r="C741" s="2"/>
      <c r="D741" s="2"/>
      <c r="E741" s="3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2"/>
      <c r="C742" s="2"/>
      <c r="D742" s="2"/>
      <c r="E742" s="3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2"/>
      <c r="C743" s="2"/>
      <c r="D743" s="2"/>
      <c r="E743" s="3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2"/>
      <c r="C744" s="2"/>
      <c r="D744" s="2"/>
      <c r="E744" s="3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2"/>
      <c r="C745" s="2"/>
      <c r="D745" s="2"/>
      <c r="E745" s="3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2"/>
      <c r="C746" s="2"/>
      <c r="D746" s="2"/>
      <c r="E746" s="3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2"/>
      <c r="C747" s="2"/>
      <c r="D747" s="2"/>
      <c r="E747" s="3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2"/>
      <c r="C748" s="2"/>
      <c r="D748" s="2"/>
      <c r="E748" s="3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2"/>
      <c r="C749" s="2"/>
      <c r="D749" s="2"/>
      <c r="E749" s="3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2"/>
      <c r="C750" s="2"/>
      <c r="D750" s="2"/>
      <c r="E750" s="3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2"/>
      <c r="C751" s="2"/>
      <c r="D751" s="2"/>
      <c r="E751" s="3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2"/>
      <c r="C752" s="2"/>
      <c r="D752" s="2"/>
      <c r="E752" s="3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2"/>
      <c r="C753" s="2"/>
      <c r="D753" s="2"/>
      <c r="E753" s="3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2"/>
      <c r="C754" s="2"/>
      <c r="D754" s="2"/>
      <c r="E754" s="3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2"/>
      <c r="C755" s="2"/>
      <c r="D755" s="2"/>
      <c r="E755" s="3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2"/>
      <c r="C756" s="2"/>
      <c r="D756" s="2"/>
      <c r="E756" s="3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2"/>
      <c r="C757" s="2"/>
      <c r="D757" s="2"/>
      <c r="E757" s="3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2"/>
      <c r="C758" s="2"/>
      <c r="D758" s="2"/>
      <c r="E758" s="3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2"/>
      <c r="C759" s="2"/>
      <c r="D759" s="2"/>
      <c r="E759" s="3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2"/>
      <c r="C760" s="2"/>
      <c r="D760" s="2"/>
      <c r="E760" s="3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2"/>
      <c r="C761" s="2"/>
      <c r="D761" s="2"/>
      <c r="E761" s="3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2"/>
      <c r="C762" s="2"/>
      <c r="D762" s="2"/>
      <c r="E762" s="3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2"/>
      <c r="C763" s="2"/>
      <c r="D763" s="2"/>
      <c r="E763" s="3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2"/>
      <c r="C764" s="2"/>
      <c r="D764" s="2"/>
      <c r="E764" s="3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2"/>
      <c r="C765" s="2"/>
      <c r="D765" s="2"/>
      <c r="E765" s="3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2"/>
      <c r="C766" s="2"/>
      <c r="D766" s="2"/>
      <c r="E766" s="3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2"/>
      <c r="C767" s="2"/>
      <c r="D767" s="2"/>
      <c r="E767" s="3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2"/>
      <c r="C768" s="2"/>
      <c r="D768" s="2"/>
      <c r="E768" s="3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2"/>
      <c r="C769" s="2"/>
      <c r="D769" s="2"/>
      <c r="E769" s="3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2"/>
      <c r="C770" s="2"/>
      <c r="D770" s="2"/>
      <c r="E770" s="3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2"/>
      <c r="C771" s="2"/>
      <c r="D771" s="2"/>
      <c r="E771" s="3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2"/>
      <c r="C772" s="2"/>
      <c r="D772" s="2"/>
      <c r="E772" s="3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2"/>
      <c r="C773" s="2"/>
      <c r="D773" s="2"/>
      <c r="E773" s="3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2"/>
      <c r="C774" s="2"/>
      <c r="D774" s="2"/>
      <c r="E774" s="3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2"/>
      <c r="C775" s="2"/>
      <c r="D775" s="2"/>
      <c r="E775" s="3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2"/>
      <c r="C776" s="2"/>
      <c r="D776" s="2"/>
      <c r="E776" s="3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2"/>
      <c r="C777" s="2"/>
      <c r="D777" s="2"/>
      <c r="E777" s="3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2"/>
      <c r="C778" s="2"/>
      <c r="D778" s="2"/>
      <c r="E778" s="3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2"/>
      <c r="C779" s="2"/>
      <c r="D779" s="2"/>
      <c r="E779" s="3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2"/>
      <c r="C780" s="2"/>
      <c r="D780" s="2"/>
      <c r="E780" s="3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2"/>
      <c r="C781" s="2"/>
      <c r="D781" s="2"/>
      <c r="E781" s="3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2"/>
      <c r="C782" s="2"/>
      <c r="D782" s="2"/>
      <c r="E782" s="3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2"/>
      <c r="C783" s="2"/>
      <c r="D783" s="2"/>
      <c r="E783" s="3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2"/>
      <c r="C784" s="2"/>
      <c r="D784" s="2"/>
      <c r="E784" s="3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2"/>
      <c r="C785" s="2"/>
      <c r="D785" s="2"/>
      <c r="E785" s="3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2"/>
      <c r="C786" s="2"/>
      <c r="D786" s="2"/>
      <c r="E786" s="3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2"/>
      <c r="C787" s="2"/>
      <c r="D787" s="2"/>
      <c r="E787" s="3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2"/>
      <c r="C788" s="2"/>
      <c r="D788" s="2"/>
      <c r="E788" s="3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2"/>
      <c r="C789" s="2"/>
      <c r="D789" s="2"/>
      <c r="E789" s="3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2"/>
      <c r="C790" s="2"/>
      <c r="D790" s="2"/>
      <c r="E790" s="3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2"/>
      <c r="C791" s="2"/>
      <c r="D791" s="2"/>
      <c r="E791" s="3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2"/>
      <c r="C792" s="2"/>
      <c r="D792" s="2"/>
      <c r="E792" s="3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2"/>
      <c r="C793" s="2"/>
      <c r="D793" s="2"/>
      <c r="E793" s="3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2"/>
      <c r="C794" s="2"/>
      <c r="D794" s="2"/>
      <c r="E794" s="3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2"/>
      <c r="C795" s="2"/>
      <c r="D795" s="2"/>
      <c r="E795" s="3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2"/>
      <c r="C796" s="2"/>
      <c r="D796" s="2"/>
      <c r="E796" s="3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2"/>
      <c r="C797" s="2"/>
      <c r="D797" s="2"/>
      <c r="E797" s="3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2"/>
      <c r="C798" s="2"/>
      <c r="D798" s="2"/>
      <c r="E798" s="3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2"/>
      <c r="C799" s="2"/>
      <c r="D799" s="2"/>
      <c r="E799" s="3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2"/>
      <c r="C800" s="2"/>
      <c r="D800" s="2"/>
      <c r="E800" s="3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2"/>
      <c r="C801" s="2"/>
      <c r="D801" s="2"/>
      <c r="E801" s="3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2"/>
      <c r="C802" s="2"/>
      <c r="D802" s="2"/>
      <c r="E802" s="3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2"/>
      <c r="C803" s="2"/>
      <c r="D803" s="2"/>
      <c r="E803" s="3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2"/>
      <c r="C804" s="2"/>
      <c r="D804" s="2"/>
      <c r="E804" s="3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2"/>
      <c r="C805" s="2"/>
      <c r="D805" s="2"/>
      <c r="E805" s="3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2"/>
      <c r="C806" s="2"/>
      <c r="D806" s="2"/>
      <c r="E806" s="3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2"/>
      <c r="C807" s="2"/>
      <c r="D807" s="2"/>
      <c r="E807" s="3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2"/>
      <c r="C808" s="2"/>
      <c r="D808" s="2"/>
      <c r="E808" s="3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2"/>
      <c r="C809" s="2"/>
      <c r="D809" s="2"/>
      <c r="E809" s="3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2"/>
      <c r="C810" s="2"/>
      <c r="D810" s="2"/>
      <c r="E810" s="3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2"/>
      <c r="C811" s="2"/>
      <c r="D811" s="2"/>
      <c r="E811" s="3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2"/>
      <c r="C812" s="2"/>
      <c r="D812" s="2"/>
      <c r="E812" s="3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2"/>
      <c r="C813" s="2"/>
      <c r="D813" s="2"/>
      <c r="E813" s="3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2"/>
      <c r="C814" s="2"/>
      <c r="D814" s="2"/>
      <c r="E814" s="3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2"/>
      <c r="C815" s="2"/>
      <c r="D815" s="2"/>
      <c r="E815" s="3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2"/>
      <c r="C816" s="2"/>
      <c r="D816" s="2"/>
      <c r="E816" s="3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2"/>
      <c r="C817" s="2"/>
      <c r="D817" s="2"/>
      <c r="E817" s="3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2"/>
      <c r="C818" s="2"/>
      <c r="D818" s="2"/>
      <c r="E818" s="3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2"/>
      <c r="C819" s="2"/>
      <c r="D819" s="2"/>
      <c r="E819" s="3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2"/>
      <c r="C820" s="2"/>
      <c r="D820" s="2"/>
      <c r="E820" s="3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2"/>
      <c r="C821" s="2"/>
      <c r="D821" s="2"/>
      <c r="E821" s="3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2"/>
      <c r="C822" s="2"/>
      <c r="D822" s="2"/>
      <c r="E822" s="3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2"/>
      <c r="C823" s="2"/>
      <c r="D823" s="2"/>
      <c r="E823" s="3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2"/>
      <c r="C824" s="2"/>
      <c r="D824" s="2"/>
      <c r="E824" s="3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2"/>
      <c r="C825" s="2"/>
      <c r="D825" s="2"/>
      <c r="E825" s="3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2"/>
      <c r="C826" s="2"/>
      <c r="D826" s="2"/>
      <c r="E826" s="3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2"/>
      <c r="C827" s="2"/>
      <c r="D827" s="2"/>
      <c r="E827" s="3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2"/>
      <c r="C828" s="2"/>
      <c r="D828" s="2"/>
      <c r="E828" s="3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2"/>
      <c r="C829" s="2"/>
      <c r="D829" s="2"/>
      <c r="E829" s="3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2"/>
      <c r="C830" s="2"/>
      <c r="D830" s="2"/>
      <c r="E830" s="3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2"/>
      <c r="C831" s="2"/>
      <c r="D831" s="2"/>
      <c r="E831" s="3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2"/>
      <c r="C832" s="2"/>
      <c r="D832" s="2"/>
      <c r="E832" s="3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2"/>
      <c r="C833" s="2"/>
      <c r="D833" s="2"/>
      <c r="E833" s="3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2"/>
      <c r="C834" s="2"/>
      <c r="D834" s="2"/>
      <c r="E834" s="3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2"/>
      <c r="C835" s="2"/>
      <c r="D835" s="2"/>
      <c r="E835" s="3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2"/>
      <c r="C836" s="2"/>
      <c r="D836" s="2"/>
      <c r="E836" s="3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2"/>
      <c r="C837" s="2"/>
      <c r="D837" s="2"/>
      <c r="E837" s="3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2"/>
      <c r="C838" s="2"/>
      <c r="D838" s="2"/>
      <c r="E838" s="3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2"/>
      <c r="C839" s="2"/>
      <c r="D839" s="2"/>
      <c r="E839" s="3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2"/>
      <c r="C840" s="2"/>
      <c r="D840" s="2"/>
      <c r="E840" s="3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2"/>
      <c r="C841" s="2"/>
      <c r="D841" s="2"/>
      <c r="E841" s="3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2"/>
      <c r="C842" s="2"/>
      <c r="D842" s="2"/>
      <c r="E842" s="3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2"/>
      <c r="C843" s="2"/>
      <c r="D843" s="2"/>
      <c r="E843" s="3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2"/>
      <c r="C844" s="2"/>
      <c r="D844" s="2"/>
      <c r="E844" s="3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2"/>
      <c r="C845" s="2"/>
      <c r="D845" s="2"/>
      <c r="E845" s="3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2"/>
      <c r="C846" s="2"/>
      <c r="D846" s="2"/>
      <c r="E846" s="3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2"/>
      <c r="C847" s="2"/>
      <c r="D847" s="2"/>
      <c r="E847" s="3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2"/>
      <c r="C848" s="2"/>
      <c r="D848" s="2"/>
      <c r="E848" s="3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2"/>
      <c r="C849" s="2"/>
      <c r="D849" s="2"/>
      <c r="E849" s="3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2"/>
      <c r="C850" s="2"/>
      <c r="D850" s="2"/>
      <c r="E850" s="3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2"/>
      <c r="C851" s="2"/>
      <c r="D851" s="2"/>
      <c r="E851" s="3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2"/>
      <c r="C852" s="2"/>
      <c r="D852" s="2"/>
      <c r="E852" s="3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2"/>
      <c r="C853" s="2"/>
      <c r="D853" s="2"/>
      <c r="E853" s="3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2"/>
      <c r="C854" s="2"/>
      <c r="D854" s="2"/>
      <c r="E854" s="3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2"/>
      <c r="C855" s="2"/>
      <c r="D855" s="2"/>
      <c r="E855" s="3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2"/>
      <c r="C856" s="2"/>
      <c r="D856" s="2"/>
      <c r="E856" s="3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2"/>
      <c r="C857" s="2"/>
      <c r="D857" s="2"/>
      <c r="E857" s="3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2"/>
      <c r="C858" s="2"/>
      <c r="D858" s="2"/>
      <c r="E858" s="3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2"/>
      <c r="C859" s="2"/>
      <c r="D859" s="2"/>
      <c r="E859" s="3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2"/>
      <c r="C860" s="2"/>
      <c r="D860" s="2"/>
      <c r="E860" s="3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2"/>
      <c r="C861" s="2"/>
      <c r="D861" s="2"/>
      <c r="E861" s="3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2"/>
      <c r="C862" s="2"/>
      <c r="D862" s="2"/>
      <c r="E862" s="3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2"/>
      <c r="C863" s="2"/>
      <c r="D863" s="2"/>
      <c r="E863" s="3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2"/>
      <c r="C864" s="2"/>
      <c r="D864" s="2"/>
      <c r="E864" s="3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2"/>
      <c r="C865" s="2"/>
      <c r="D865" s="2"/>
      <c r="E865" s="3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2"/>
      <c r="C866" s="2"/>
      <c r="D866" s="2"/>
      <c r="E866" s="3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2"/>
      <c r="C867" s="2"/>
      <c r="D867" s="2"/>
      <c r="E867" s="3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2"/>
      <c r="C868" s="2"/>
      <c r="D868" s="2"/>
      <c r="E868" s="3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2"/>
      <c r="C869" s="2"/>
      <c r="D869" s="2"/>
      <c r="E869" s="3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2"/>
      <c r="C870" s="2"/>
      <c r="D870" s="2"/>
      <c r="E870" s="3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2"/>
      <c r="C871" s="2"/>
      <c r="D871" s="2"/>
      <c r="E871" s="3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2"/>
      <c r="C872" s="2"/>
      <c r="D872" s="2"/>
      <c r="E872" s="3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2"/>
      <c r="C873" s="2"/>
      <c r="D873" s="2"/>
      <c r="E873" s="3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2"/>
      <c r="C874" s="2"/>
      <c r="D874" s="2"/>
      <c r="E874" s="3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2"/>
      <c r="C875" s="2"/>
      <c r="D875" s="2"/>
      <c r="E875" s="3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2"/>
      <c r="C876" s="2"/>
      <c r="D876" s="2"/>
      <c r="E876" s="3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2"/>
      <c r="C877" s="2"/>
      <c r="D877" s="2"/>
      <c r="E877" s="3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2"/>
      <c r="C878" s="2"/>
      <c r="D878" s="2"/>
      <c r="E878" s="3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2"/>
      <c r="C879" s="2"/>
      <c r="D879" s="2"/>
      <c r="E879" s="3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2"/>
      <c r="C880" s="2"/>
      <c r="D880" s="2"/>
      <c r="E880" s="3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2"/>
      <c r="C881" s="2"/>
      <c r="D881" s="2"/>
      <c r="E881" s="3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2"/>
      <c r="C882" s="2"/>
      <c r="D882" s="2"/>
      <c r="E882" s="3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2"/>
      <c r="C883" s="2"/>
      <c r="D883" s="2"/>
      <c r="E883" s="3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2"/>
      <c r="C884" s="2"/>
      <c r="D884" s="2"/>
      <c r="E884" s="3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2"/>
      <c r="C885" s="2"/>
      <c r="D885" s="2"/>
      <c r="E885" s="3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2"/>
      <c r="C886" s="2"/>
      <c r="D886" s="2"/>
      <c r="E886" s="3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2"/>
      <c r="C887" s="2"/>
      <c r="D887" s="2"/>
      <c r="E887" s="3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2"/>
      <c r="C888" s="2"/>
      <c r="D888" s="2"/>
      <c r="E888" s="3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2"/>
      <c r="C889" s="2"/>
      <c r="D889" s="2"/>
      <c r="E889" s="3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2"/>
      <c r="C890" s="2"/>
      <c r="D890" s="2"/>
      <c r="E890" s="3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2"/>
      <c r="C891" s="2"/>
      <c r="D891" s="2"/>
      <c r="E891" s="3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2"/>
      <c r="C892" s="2"/>
      <c r="D892" s="2"/>
      <c r="E892" s="3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2"/>
      <c r="C893" s="2"/>
      <c r="D893" s="2"/>
      <c r="E893" s="3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2"/>
      <c r="C894" s="2"/>
      <c r="D894" s="2"/>
      <c r="E894" s="3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2"/>
      <c r="C895" s="2"/>
      <c r="D895" s="2"/>
      <c r="E895" s="3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2"/>
      <c r="C896" s="2"/>
      <c r="D896" s="2"/>
      <c r="E896" s="3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2"/>
      <c r="C897" s="2"/>
      <c r="D897" s="2"/>
      <c r="E897" s="3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2"/>
      <c r="C898" s="2"/>
      <c r="D898" s="2"/>
      <c r="E898" s="3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2"/>
      <c r="C899" s="2"/>
      <c r="D899" s="2"/>
      <c r="E899" s="3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2"/>
      <c r="C900" s="2"/>
      <c r="D900" s="2"/>
      <c r="E900" s="3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2"/>
      <c r="C901" s="2"/>
      <c r="D901" s="2"/>
      <c r="E901" s="3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2"/>
      <c r="C902" s="2"/>
      <c r="D902" s="2"/>
      <c r="E902" s="3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2"/>
      <c r="C903" s="2"/>
      <c r="D903" s="2"/>
      <c r="E903" s="3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2"/>
      <c r="C904" s="2"/>
      <c r="D904" s="2"/>
      <c r="E904" s="3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2"/>
      <c r="C905" s="2"/>
      <c r="D905" s="2"/>
      <c r="E905" s="3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2"/>
      <c r="C906" s="2"/>
      <c r="D906" s="2"/>
      <c r="E906" s="3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2"/>
      <c r="C907" s="2"/>
      <c r="D907" s="2"/>
      <c r="E907" s="3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2"/>
      <c r="C908" s="2"/>
      <c r="D908" s="2"/>
      <c r="E908" s="3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2"/>
      <c r="C909" s="2"/>
      <c r="D909" s="2"/>
      <c r="E909" s="3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2"/>
      <c r="C910" s="2"/>
      <c r="D910" s="2"/>
      <c r="E910" s="3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2"/>
      <c r="C911" s="2"/>
      <c r="D911" s="2"/>
      <c r="E911" s="3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2"/>
      <c r="C912" s="2"/>
      <c r="D912" s="2"/>
      <c r="E912" s="3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2"/>
      <c r="C913" s="2"/>
      <c r="D913" s="2"/>
      <c r="E913" s="3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2"/>
      <c r="C914" s="2"/>
      <c r="D914" s="2"/>
      <c r="E914" s="3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2"/>
      <c r="C915" s="2"/>
      <c r="D915" s="2"/>
      <c r="E915" s="3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2"/>
      <c r="C916" s="2"/>
      <c r="D916" s="2"/>
      <c r="E916" s="3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2"/>
      <c r="C917" s="2"/>
      <c r="D917" s="2"/>
      <c r="E917" s="3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2"/>
      <c r="C918" s="2"/>
      <c r="D918" s="2"/>
      <c r="E918" s="3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2"/>
      <c r="C919" s="2"/>
      <c r="D919" s="2"/>
      <c r="E919" s="3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2"/>
      <c r="C920" s="2"/>
      <c r="D920" s="2"/>
      <c r="E920" s="3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2"/>
      <c r="C921" s="2"/>
      <c r="D921" s="2"/>
      <c r="E921" s="3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2"/>
      <c r="C922" s="2"/>
      <c r="D922" s="2"/>
      <c r="E922" s="3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2"/>
      <c r="C923" s="2"/>
      <c r="D923" s="2"/>
      <c r="E923" s="3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2"/>
      <c r="C924" s="2"/>
      <c r="D924" s="2"/>
      <c r="E924" s="3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2"/>
      <c r="C925" s="2"/>
      <c r="D925" s="2"/>
      <c r="E925" s="3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2"/>
      <c r="C926" s="2"/>
      <c r="D926" s="2"/>
      <c r="E926" s="3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2"/>
      <c r="C927" s="2"/>
      <c r="D927" s="2"/>
      <c r="E927" s="3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2"/>
      <c r="C928" s="2"/>
      <c r="D928" s="2"/>
      <c r="E928" s="3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2"/>
      <c r="C929" s="2"/>
      <c r="D929" s="2"/>
      <c r="E929" s="3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2"/>
      <c r="C930" s="2"/>
      <c r="D930" s="2"/>
      <c r="E930" s="3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2"/>
      <c r="C931" s="2"/>
      <c r="D931" s="2"/>
      <c r="E931" s="3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2"/>
      <c r="C932" s="2"/>
      <c r="D932" s="2"/>
      <c r="E932" s="3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2"/>
      <c r="C933" s="2"/>
      <c r="D933" s="2"/>
      <c r="E933" s="3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2"/>
      <c r="C934" s="2"/>
      <c r="D934" s="2"/>
      <c r="E934" s="3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2"/>
      <c r="C935" s="2"/>
      <c r="D935" s="2"/>
      <c r="E935" s="3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2"/>
      <c r="C936" s="2"/>
      <c r="D936" s="2"/>
      <c r="E936" s="3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2"/>
      <c r="C937" s="2"/>
      <c r="D937" s="2"/>
      <c r="E937" s="3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2"/>
      <c r="C938" s="2"/>
      <c r="D938" s="2"/>
      <c r="E938" s="3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2"/>
      <c r="C939" s="2"/>
      <c r="D939" s="2"/>
      <c r="E939" s="3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2"/>
      <c r="C940" s="2"/>
      <c r="D940" s="2"/>
      <c r="E940" s="3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2"/>
      <c r="C941" s="2"/>
      <c r="D941" s="2"/>
      <c r="E941" s="3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2"/>
      <c r="C942" s="2"/>
      <c r="D942" s="2"/>
      <c r="E942" s="3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2"/>
      <c r="C943" s="2"/>
      <c r="D943" s="2"/>
      <c r="E943" s="3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2"/>
      <c r="C944" s="2"/>
      <c r="D944" s="2"/>
      <c r="E944" s="3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2"/>
      <c r="C945" s="2"/>
      <c r="D945" s="2"/>
      <c r="E945" s="3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2"/>
      <c r="C946" s="2"/>
      <c r="D946" s="2"/>
      <c r="E946" s="3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2"/>
      <c r="C947" s="2"/>
      <c r="D947" s="2"/>
      <c r="E947" s="3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2"/>
      <c r="C948" s="2"/>
      <c r="D948" s="2"/>
      <c r="E948" s="3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2"/>
      <c r="C949" s="2"/>
      <c r="D949" s="2"/>
      <c r="E949" s="3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2"/>
      <c r="C950" s="2"/>
      <c r="D950" s="2"/>
      <c r="E950" s="3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2"/>
      <c r="C951" s="2"/>
      <c r="D951" s="2"/>
      <c r="E951" s="3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2"/>
      <c r="C952" s="2"/>
      <c r="D952" s="2"/>
      <c r="E952" s="3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2"/>
      <c r="C953" s="2"/>
      <c r="D953" s="2"/>
      <c r="E953" s="3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2"/>
      <c r="C954" s="2"/>
      <c r="D954" s="2"/>
      <c r="E954" s="3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2"/>
      <c r="C955" s="2"/>
      <c r="D955" s="2"/>
      <c r="E955" s="3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2"/>
      <c r="C956" s="2"/>
      <c r="D956" s="2"/>
      <c r="E956" s="3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2"/>
      <c r="C957" s="2"/>
      <c r="D957" s="2"/>
      <c r="E957" s="3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2"/>
      <c r="C958" s="2"/>
      <c r="D958" s="2"/>
      <c r="E958" s="3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2"/>
      <c r="C959" s="2"/>
      <c r="D959" s="2"/>
      <c r="E959" s="3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2"/>
      <c r="C960" s="2"/>
      <c r="D960" s="2"/>
      <c r="E960" s="3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2"/>
      <c r="C961" s="2"/>
      <c r="D961" s="2"/>
      <c r="E961" s="3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2"/>
      <c r="C962" s="2"/>
      <c r="D962" s="2"/>
      <c r="E962" s="3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2"/>
      <c r="C963" s="2"/>
      <c r="D963" s="2"/>
      <c r="E963" s="3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2"/>
      <c r="C964" s="2"/>
      <c r="D964" s="2"/>
      <c r="E964" s="3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2"/>
      <c r="C965" s="2"/>
      <c r="D965" s="2"/>
      <c r="E965" s="3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2"/>
      <c r="C966" s="2"/>
      <c r="D966" s="2"/>
      <c r="E966" s="3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2"/>
      <c r="C967" s="2"/>
      <c r="D967" s="2"/>
      <c r="E967" s="3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2"/>
      <c r="C968" s="2"/>
      <c r="D968" s="2"/>
      <c r="E968" s="3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2"/>
      <c r="C969" s="2"/>
      <c r="D969" s="2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2"/>
      <c r="C970" s="2"/>
      <c r="D970" s="2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2"/>
      <c r="C971" s="2"/>
      <c r="D971" s="2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2"/>
      <c r="C972" s="2"/>
      <c r="D972" s="2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2"/>
      <c r="C973" s="2"/>
      <c r="D973" s="2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2"/>
      <c r="C974" s="2"/>
      <c r="D974" s="2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2"/>
      <c r="C975" s="2"/>
      <c r="D975" s="2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2"/>
      <c r="C976" s="2"/>
      <c r="D976" s="2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2"/>
      <c r="C977" s="2"/>
      <c r="D977" s="2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2"/>
      <c r="C978" s="2"/>
      <c r="D978" s="2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2"/>
      <c r="C979" s="2"/>
      <c r="D979" s="2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2"/>
      <c r="C980" s="2"/>
      <c r="D980" s="2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2"/>
      <c r="C981" s="2"/>
      <c r="D981" s="2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2"/>
      <c r="C982" s="2"/>
      <c r="D982" s="2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2"/>
      <c r="C983" s="2"/>
      <c r="D983" s="2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2"/>
      <c r="C984" s="2"/>
      <c r="D984" s="2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2"/>
      <c r="C985" s="2"/>
      <c r="D985" s="2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2"/>
      <c r="C986" s="2"/>
      <c r="D986" s="2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2"/>
      <c r="C987" s="2"/>
      <c r="D987" s="2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2"/>
      <c r="C988" s="2"/>
      <c r="D988" s="2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2"/>
      <c r="C989" s="2"/>
      <c r="D989" s="2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2"/>
      <c r="C990" s="2"/>
      <c r="D990" s="2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2"/>
      <c r="C991" s="2"/>
      <c r="D991" s="2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2"/>
      <c r="C992" s="2"/>
      <c r="D992" s="2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2"/>
      <c r="C993" s="2"/>
      <c r="D993" s="2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2"/>
      <c r="C994" s="2"/>
      <c r="D994" s="2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2"/>
      <c r="C995" s="2"/>
      <c r="D995" s="2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2"/>
      <c r="C996" s="2"/>
      <c r="D996" s="2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2"/>
      <c r="C997" s="2"/>
      <c r="D997" s="2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2"/>
      <c r="B998" s="2"/>
      <c r="C998" s="2"/>
      <c r="D998" s="2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2"/>
      <c r="B999" s="2"/>
      <c r="C999" s="2"/>
      <c r="D999" s="2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2"/>
      <c r="B1000" s="2"/>
      <c r="C1000" s="2"/>
      <c r="D1000" s="2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3">
    <mergeCell ref="A5:C8"/>
    <mergeCell ref="D9:H9"/>
    <mergeCell ref="A10:C10"/>
  </mergeCells>
  <printOptions horizontalCentered="1"/>
  <pageMargins bottom="0.5" footer="0.0" header="0.0" left="0.45" right="0.45" top="0.5"/>
  <pageSetup paperSize="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2017-01-27T20:29:13Z</dcterms:created>
  <dc:creator>CBRE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0x0101007AD4BF427B40BA40A6115BFDF0AE1C77</vt:lpwstr>
  </property>
  <property fmtid="{D5CDD505-2E9C-101B-9397-08002B2CF9AE}" pid="3" name="_dlc_DocIdItemGuid">
    <vt:lpwstr>b5e5a061-98cd-4d9a-99ac-80b438f95e8e</vt:lpwstr>
  </property>
  <property fmtid="{D5CDD505-2E9C-101B-9397-08002B2CF9AE}" pid="4" name="Order">
    <vt:r8>34600.0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MSIP_Label_1ada0a2f-b917-4d51-b0d0-d418a10c8b23_Enabled">
    <vt:lpwstr>true</vt:lpwstr>
  </property>
  <property fmtid="{D5CDD505-2E9C-101B-9397-08002B2CF9AE}" pid="10" name="MSIP_Label_1ada0a2f-b917-4d51-b0d0-d418a10c8b23_SetDate">
    <vt:lpwstr>2021-01-28T15:17:00Z</vt:lpwstr>
  </property>
  <property fmtid="{D5CDD505-2E9C-101B-9397-08002B2CF9AE}" pid="11" name="MSIP_Label_1ada0a2f-b917-4d51-b0d0-d418a10c8b23_Method">
    <vt:lpwstr>Standard</vt:lpwstr>
  </property>
  <property fmtid="{D5CDD505-2E9C-101B-9397-08002B2CF9AE}" pid="12" name="MSIP_Label_1ada0a2f-b917-4d51-b0d0-d418a10c8b23_Name">
    <vt:lpwstr>1ada0a2f-b917-4d51-b0d0-d418a10c8b23</vt:lpwstr>
  </property>
  <property fmtid="{D5CDD505-2E9C-101B-9397-08002B2CF9AE}" pid="13" name="MSIP_Label_1ada0a2f-b917-4d51-b0d0-d418a10c8b23_SiteId">
    <vt:lpwstr>12a3af23-a769-4654-847f-958f3d479f4a</vt:lpwstr>
  </property>
  <property fmtid="{D5CDD505-2E9C-101B-9397-08002B2CF9AE}" pid="14" name="MSIP_Label_1ada0a2f-b917-4d51-b0d0-d418a10c8b23_ActionId">
    <vt:lpwstr>74787509-b8a1-40a9-a589-5f594c0260e4</vt:lpwstr>
  </property>
  <property fmtid="{D5CDD505-2E9C-101B-9397-08002B2CF9AE}" pid="15" name="MSIP_Label_1ada0a2f-b917-4d51-b0d0-d418a10c8b23_ContentBits">
    <vt:lpwstr>0</vt:lpwstr>
  </property>
  <property fmtid="{D5CDD505-2E9C-101B-9397-08002B2CF9AE}" pid="16" name="MediaServiceImageTags">
    <vt:lpwstr/>
  </property>
</Properties>
</file>